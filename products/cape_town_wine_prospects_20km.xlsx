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6ef782748647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spects_20km" sheetId="1" r:id="Rcac473289e48429a"/>
    <x:sheet xmlns:r="http://schemas.openxmlformats.org/officeDocument/2006/relationships" name="Existing_Accounts" sheetId="2" r:id="Rf7223f18e6f24e9f"/>
    <x:sheet xmlns:r="http://schemas.openxmlformats.org/officeDocument/2006/relationships" name="RunRate_Planner" sheetId="3" r:id="Rec96cc00ad8d45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yyyy-mm-dd"/>
  </x:numFmts>
  <x:fonts count="4">
    <x:font>
      <x:sz val="11"/>
      <x:color theme="1"/>
      <x:name val="Calibri"/>
      <x:family val="2"/>
      <x:scheme val="minor"/>
    </x:font>
    <x:font>
      <x:b/>
      <x:color rgb="00FFFFFF"/>
    </x:font>
    <x:font>
      <x:b/>
      <x:color rgb="000000FF"/>
    </x:font>
    <x:font>
      <x:b/>
    </x:font>
  </x:fonts>
  <x:fills count="4">
    <x:fill>
      <x:patternFill patternType="none"/>
    </x:fill>
    <x:fill>
      <x:patternFill patternType="gray125"/>
    </x:fill>
    <x:fill>
      <x:patternFill patternType="solid">
        <x:fgColor rgb="001F4E79"/>
      </x:patternFill>
    </x:fill>
    <x:fill>
      <x:patternFill patternType="solid">
        <x:fgColor rgb="00D9E1F2"/>
      </x:patternFill>
    </x:fill>
  </x:fills>
  <x:borders count="2">
    <x:border>
      <x:left/>
      <x:right/>
      <x:top/>
      <x:bottom/>
      <x:diagonal/>
    </x:border>
    <x:border>
      <x:left style="thin">
        <x:color rgb="00A6A6A6"/>
      </x:left>
      <x:right style="thin">
        <x:color rgb="00A6A6A6"/>
      </x:right>
      <x:top style="thin">
        <x:color rgb="00A6A6A6"/>
      </x:top>
      <x:bottom style="thin">
        <x:color rgb="00A6A6A6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1" fillId="2" borderId="1" xfId="0" applyAlignment="1">
      <x:alignment vertical="center" wrapText="1"/>
    </x:xf>
    <x:xf numFmtId="0" fontId="0" fillId="0" borderId="1" xfId="0" applyAlignment="1">
      <x:alignment vertical="top" wrapText="1"/>
    </x:xf>
    <x:xf numFmtId="0" fontId="1" fillId="2" borderId="1" xfId="0" applyAlignment="1">
      <x:alignment vertical="center"/>
    </x:xf>
    <x:xf numFmtId="1" fontId="2" fillId="0" borderId="1" xfId="0" applyAlignment="1">
      <x:alignment vertical="top" wrapText="1"/>
    </x:xf>
    <x:xf numFmtId="2" fontId="2" fillId="0" borderId="1" xfId="0" applyAlignment="1">
      <x:alignment vertical="top" wrapText="1"/>
    </x:xf>
    <x:xf numFmtId="164" fontId="2" fillId="0" borderId="1" xfId="0" applyAlignment="1">
      <x:alignment vertical="top" wrapText="1"/>
    </x:xf>
    <x:xf numFmtId="0" fontId="3" fillId="3" borderId="1" xfId="0" applyAlignment="1">
      <x:alignment vertical="top" wrapText="1"/>
    </x:xf>
    <x:xf numFmtId="0" fontId="1" fillId="2" borderId="1" xfId="0" applyAlignment="1">
      <x:alignment vertical="top" wrapText="1"/>
    </x:xf>
    <x:xf numFmtId="0" fontId="2" fillId="0" borderId="1" xfId="0" applyAlignment="1">
      <x:alignment vertical="top" wrapText="1"/>
    </x:xf>
    <x:xf numFmtId="0" fontId="3" fillId="0" borderId="1" xfId="0" applyAlignment="1">
      <x:alignment vertical="top" wrapText="1"/>
    </x:xf>
    <x:xf numFmtId="0" fontId="2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4171f4661c4c69" /><Relationship Type="http://schemas.openxmlformats.org/officeDocument/2006/relationships/theme" Target="/xl/theme/theme1.xml" Id="Rd5c334a594d6458d" /><Relationship Type="http://schemas.openxmlformats.org/officeDocument/2006/relationships/sharedStrings" Target="/xl/sharedStrings.xml" Id="R9ef8c47f28054504" /><Relationship Type="http://schemas.openxmlformats.org/officeDocument/2006/relationships/worksheet" Target="/xl/worksheets/sheet1.xml" Id="Rcac473289e48429a" /><Relationship Type="http://schemas.openxmlformats.org/officeDocument/2006/relationships/worksheet" Target="/xl/worksheets/sheet2.xml" Id="Rf7223f18e6f24e9f" /><Relationship Type="http://schemas.openxmlformats.org/officeDocument/2006/relationships/worksheet" Target="/xl/worksheets/sheet3.xml" Id="Rec96cc00ad8d45de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customWidth="1"/>
    <x:col min="2" max="2" width="16" customWidth="1"/>
    <x:col min="3" max="3" width="34" customWidth="1"/>
    <x:col min="4" max="4" width="20" customWidth="1"/>
    <x:col min="5" max="5" width="34" customWidth="1"/>
    <x:col min="6" max="6" width="16" customWidth="1"/>
    <x:col min="7" max="7" width="26" customWidth="1"/>
    <x:col min="8" max="8" width="42" customWidth="1"/>
    <x:col min="9" max="9" width="22" customWidth="1"/>
    <x:col min="10" max="10" width="34" customWidth="1"/>
    <x:col min="11" max="11" width="20" customWidth="1"/>
    <x:col min="12" max="12" width="14" customWidth="1"/>
    <x:col min="13" max="13" width="12" customWidth="1"/>
  </x:cols>
  <x:sheetData>
    <x:row r="1">
      <x:c r="A1" s="1" t="inlineStr">
        <x:is>
          <x:t xml:space="preserve">Priority</x:t>
        </x:is>
      </x:c>
      <x:c r="B1" s="1" t="inlineStr">
        <x:is>
          <x:t xml:space="preserve">Category</x:t>
        </x:is>
      </x:c>
      <x:c r="C1" s="1" t="inlineStr">
        <x:is>
          <x:t xml:space="preserve">Company / Venue</x:t>
        </x:is>
      </x:c>
      <x:c r="D1" s="1" t="inlineStr">
        <x:is>
          <x:t xml:space="preserve">Area/Suburb (&lt;=20km)</x:t>
        </x:is>
      </x:c>
      <x:c r="E1" s="1" t="inlineStr">
        <x:is>
          <x:t xml:space="preserve">Address (as listed)</x:t>
        </x:is>
      </x:c>
      <x:c r="F1" s="1" t="inlineStr">
        <x:is>
          <x:t xml:space="preserve">Phone</x:t>
        </x:is>
      </x:c>
      <x:c r="G1" s="1" t="inlineStr">
        <x:is>
          <x:t xml:space="preserve">Email</x:t>
        </x:is>
      </x:c>
      <x:c r="H1" s="1" t="inlineStr">
        <x:is>
          <x:t xml:space="preserve">Website / Source URL</x:t>
        </x:is>
      </x:c>
      <x:c r="I1" s="1" t="inlineStr">
        <x:is>
          <x:t xml:space="preserve">Buyer role to ask for</x:t>
        </x:is>
      </x:c>
      <x:c r="J1" s="1" t="inlineStr">
        <x:is>
          <x:t xml:space="preserve">Why a fit (premium volume)</x:t>
        </x:is>
      </x:c>
      <x:c r="K1" s="1" t="inlineStr">
        <x:is>
          <x:t xml:space="preserve">Next action</x:t>
        </x:is>
      </x:c>
      <x:c r="L1" s="1" t="inlineStr">
        <x:is>
          <x:t xml:space="preserve">Owner</x:t>
        </x:is>
      </x:c>
      <x:c r="M1" s="1" t="inlineStr">
        <x:is>
          <x:t xml:space="preserve">Status</x:t>
        </x:is>
      </x:c>
    </x:row>
    <x:row r="2">
      <x:c r="A2" s="2" t="inlineStr">
        <x:is>
          <x:t xml:space="preserve">A</x:t>
        </x:is>
      </x:c>
      <x:c r="B2" s="2" t="inlineStr">
        <x:is>
          <x:t xml:space="preserve">Luxury Hotel</x:t>
        </x:is>
      </x:c>
      <x:c r="C2" s="2" t="inlineStr">
        <x:is>
          <x:t xml:space="preserve">One&amp;Only Cape Town (Wine Studio)</x:t>
        </x:is>
      </x:c>
      <x:c r="D2" s="2" t="inlineStr">
        <x:is>
          <x:t xml:space="preserve">V&amp;A Waterfront</x:t>
        </x:is>
      </x:c>
      <x:c r="E2" s="2" t="inlineStr">
        <x:is>
          <x:t xml:space="preserve">Dock Road, V&amp;A Waterfront, Cape Town</x:t>
        </x:is>
      </x:c>
      <x:c r="F2" s="2" t="inlineStr">
        <x:is>
          <x:t xml:space="preserve"/>
        </x:is>
      </x:c>
      <x:c r="G2" s="2" t="inlineStr">
        <x:is>
          <x:t xml:space="preserve"/>
        </x:is>
      </x:c>
      <x:c r="H2" s="2" t="inlineStr">
        <x:is>
          <x:t xml:space="preserve">https://www.oneandonlyresorts.com/cape-town/dining/wine-studio</x:t>
        </x:is>
      </x:c>
      <x:c r="I2" s="2" t="inlineStr">
        <x:is>
          <x:t xml:space="preserve">Head Sommelier / Beverage Manager</x:t>
        </x:is>
      </x:c>
      <x:c r="J2" s="2" t="inlineStr">
        <x:is>
          <x:t xml:space="preserve">Premium wine program; curated wine collection; ideal for allocations and repeat monthly replenishment</x:t>
        </x:is>
      </x:c>
      <x:c r="K2" s="2" t="inlineStr">
        <x:is>
          <x:t xml:space="preserve">Walk-in: ask for beverage manager; book a 10–15 min tasting slot</x:t>
        </x:is>
      </x:c>
      <x:c r="L2" s="2" t="inlineStr">
        <x:is>
          <x:t xml:space="preserve"/>
        </x:is>
      </x:c>
      <x:c r="M2" s="2" t="inlineStr">
        <x:is>
          <x:t xml:space="preserve">New</x:t>
        </x:is>
      </x:c>
    </x:row>
    <x:row r="3">
      <x:c r="A3" s="2" t="inlineStr">
        <x:is>
          <x:t xml:space="preserve">A</x:t>
        </x:is>
      </x:c>
      <x:c r="B3" s="2" t="inlineStr">
        <x:is>
          <x:t xml:space="preserve">Luxury Hotel</x:t>
        </x:is>
      </x:c>
      <x:c r="C3" s="2" t="inlineStr">
        <x:is>
          <x:t xml:space="preserve">Cape Grace (Bascule Bar / Wine Cellar)</x:t>
        </x:is>
      </x:c>
      <x:c r="D3" s="2" t="inlineStr">
        <x:is>
          <x:t xml:space="preserve">V&amp;A Waterfront</x:t>
        </x:is>
      </x:c>
      <x:c r="E3" s="2" t="inlineStr">
        <x:is>
          <x:t xml:space="preserve">West Quay Road, V&amp;A Waterfront, Cape Town</x:t>
        </x:is>
      </x:c>
      <x:c r="F3" s="2" t="inlineStr">
        <x:is>
          <x:t xml:space="preserve">+27 21 410 7100</x:t>
        </x:is>
      </x:c>
      <x:c r="G3" s="2" t="inlineStr">
        <x:is>
          <x:t xml:space="preserve">capegrace.info@fairmont.com</x:t>
        </x:is>
      </x:c>
      <x:c r="H3" s="2" t="inlineStr">
        <x:is>
          <x:t xml:space="preserve">https://www.capegrace.com/contact-us/</x:t>
        </x:is>
      </x:c>
      <x:c r="I3" s="2" t="inlineStr">
        <x:is>
          <x:t xml:space="preserve">Beverage Manager / Bar Manager</x:t>
        </x:is>
      </x:c>
      <x:c r="J3" s="2" t="inlineStr">
        <x:is>
          <x:t xml:space="preserve">Stated 'exclusive wine cellar' and premium bar program; strong by-the-bottle potential</x:t>
        </x:is>
      </x:c>
      <x:c r="K3" s="2" t="inlineStr">
        <x:is>
          <x:t xml:space="preserve">Call + email deck + price list; propose mixed-case premium bundle</x:t>
        </x:is>
      </x:c>
      <x:c r="L3" s="2" t="inlineStr">
        <x:is>
          <x:t xml:space="preserve"/>
        </x:is>
      </x:c>
      <x:c r="M3" s="2" t="inlineStr">
        <x:is>
          <x:t xml:space="preserve">New</x:t>
        </x:is>
      </x:c>
    </x:row>
    <x:row r="4">
      <x:c r="A4" s="2" t="inlineStr">
        <x:is>
          <x:t xml:space="preserve">A</x:t>
        </x:is>
      </x:c>
      <x:c r="B4" s="2" t="inlineStr">
        <x:is>
          <x:t xml:space="preserve">Luxury Hotel</x:t>
        </x:is>
      </x:c>
      <x:c r="C4" s="2" t="inlineStr">
        <x:is>
          <x:t xml:space="preserve">Belmond Mount Nelson Hotel</x:t>
        </x:is>
      </x:c>
      <x:c r="D4" s="2" t="inlineStr">
        <x:is>
          <x:t xml:space="preserve">Gardens</x:t>
        </x:is>
      </x:c>
      <x:c r="E4" s="2" t="inlineStr">
        <x:is>
          <x:t xml:space="preserve">76 Orange Street, Gardens, Cape Town</x:t>
        </x:is>
      </x:c>
      <x:c r="F4" s="2" t="inlineStr">
        <x:is>
          <x:t xml:space="preserve">+27 21 483 1000</x:t>
        </x:is>
      </x:c>
      <x:c r="G4" s="2" t="inlineStr">
        <x:is>
          <x:t xml:space="preserve">reservations.mnh@belmond.com</x:t>
        </x:is>
      </x:c>
      <x:c r="H4" s="2" t="inlineStr">
        <x:is>
          <x:t xml:space="preserve">https://www.belmond.com/hotels/africa/south-africa/cape-town/belmond-mount-nelson-hotel/contact-us</x:t>
        </x:is>
      </x:c>
      <x:c r="I4" s="2" t="inlineStr">
        <x:is>
          <x:t xml:space="preserve">F&amp;B Manager / Sommelier</x:t>
        </x:is>
      </x:c>
      <x:c r="J4" s="2" t="inlineStr">
        <x:is>
          <x:t xml:space="preserve">Multiple venues; high-end clientele; consistent buying across outlets</x:t>
        </x:is>
      </x:c>
      <x:c r="K4" s="2" t="inlineStr">
        <x:is>
          <x:t xml:space="preserve">Walk-in/appointment; offer cellar top-up + by-the-glass rotation SKUs</x:t>
        </x:is>
      </x:c>
      <x:c r="L4" s="2" t="inlineStr">
        <x:is>
          <x:t xml:space="preserve"/>
        </x:is>
      </x:c>
      <x:c r="M4" s="2" t="inlineStr">
        <x:is>
          <x:t xml:space="preserve">New</x:t>
        </x:is>
      </x:c>
    </x:row>
    <x:row r="5">
      <x:c r="A5" s="2" t="inlineStr">
        <x:is>
          <x:t xml:space="preserve">A</x:t>
        </x:is>
      </x:c>
      <x:c r="B5" s="2" t="inlineStr">
        <x:is>
          <x:t xml:space="preserve">Luxury Hotel</x:t>
        </x:is>
      </x:c>
      <x:c r="C5" s="2" t="inlineStr">
        <x:is>
          <x:t xml:space="preserve">The Silo Hotel (Royal Portfolio)</x:t>
        </x:is>
      </x:c>
      <x:c r="D5" s="2" t="inlineStr">
        <x:is>
          <x:t xml:space="preserve">V&amp;A Waterfront</x:t>
        </x:is>
      </x:c>
      <x:c r="E5" s="2" t="inlineStr">
        <x:is>
          <x:t xml:space="preserve">Silo Square, V&amp;A Waterfront, Cape Town</x:t>
        </x:is>
      </x:c>
      <x:c r="F5" s="2" t="inlineStr">
        <x:is>
          <x:t xml:space="preserve">+27 21 670 0500</x:t>
        </x:is>
      </x:c>
      <x:c r="G5" s="2" t="inlineStr">
        <x:is>
          <x:t xml:space="preserve">info@thesilohotel.com</x:t>
        </x:is>
      </x:c>
      <x:c r="H5" s="2" t="inlineStr">
        <x:is>
          <x:t xml:space="preserve">https://www.cybo.com/ZA-biz/the-silo-hotel</x:t>
        </x:is>
      </x:c>
      <x:c r="I5" s="2" t="inlineStr">
        <x:is>
          <x:t xml:space="preserve">F&amp;B Manager / Beverage Manager</x:t>
        </x:is>
      </x:c>
      <x:c r="J5" s="2" t="inlineStr">
        <x:is>
          <x:t xml:space="preserve">Luxury property; premium rooftop/restaurant; suitable for high-price-point bottles and events</x:t>
        </x:is>
      </x:c>
      <x:c r="K5" s="2" t="inlineStr">
        <x:is>
          <x:t xml:space="preserve">Call + request intro to buyer; propose event/cellar allocation pack</x:t>
        </x:is>
      </x:c>
      <x:c r="L5" s="2" t="inlineStr">
        <x:is>
          <x:t xml:space="preserve"/>
        </x:is>
      </x:c>
      <x:c r="M5" s="2" t="inlineStr">
        <x:is>
          <x:t xml:space="preserve">New</x:t>
        </x:is>
      </x:c>
    </x:row>
    <x:row r="6">
      <x:c r="A6" s="2" t="inlineStr">
        <x:is>
          <x:t xml:space="preserve">A</x:t>
        </x:is>
      </x:c>
      <x:c r="B6" s="2" t="inlineStr">
        <x:is>
          <x:t xml:space="preserve">Hotel</x:t>
        </x:is>
      </x:c>
      <x:c r="C6" s="2" t="inlineStr">
        <x:is>
          <x:t xml:space="preserve">Radisson Collection Hotel, Waterfront</x:t>
        </x:is>
      </x:c>
      <x:c r="D6" s="2" t="inlineStr">
        <x:is>
          <x:t xml:space="preserve">Mouille Point / Granger Bay</x:t>
        </x:is>
      </x:c>
      <x:c r="E6" s="2" t="inlineStr">
        <x:is>
          <x:t xml:space="preserve">Beach Road, Granger Bay, Cape Town</x:t>
        </x:is>
      </x:c>
      <x:c r="F6" s="2" t="inlineStr">
        <x:is>
          <x:t xml:space="preserve">+27 21 441 3000</x:t>
        </x:is>
      </x:c>
      <x:c r="G6" s="2" t="inlineStr">
        <x:is>
          <x:t xml:space="preserve">reservations.capetown@radissoncollection.com</x:t>
        </x:is>
      </x:c>
      <x:c r="H6" s="2" t="inlineStr">
        <x:is>
          <x:t xml:space="preserve">https://www.radissonhotels.com/en-us/hotels/radisson-collection-cape-town-waterfront/contact</x:t>
        </x:is>
      </x:c>
      <x:c r="I6" s="2" t="inlineStr">
        <x:is>
          <x:t xml:space="preserve">Beverage Manager / Procurement</x:t>
        </x:is>
      </x:c>
      <x:c r="J6" s="2" t="inlineStr">
        <x:is>
          <x:t xml:space="preserve">Large inventory needs for restaurant/bar + events; can absorb volume with competitive trade terms</x:t>
        </x:is>
      </x:c>
      <x:c r="K6" s="2" t="inlineStr">
        <x:is>
          <x:t xml:space="preserve">Email proposal + request vendor onboarding requirements</x:t>
        </x:is>
      </x:c>
      <x:c r="L6" s="2" t="inlineStr">
        <x:is>
          <x:t xml:space="preserve"/>
        </x:is>
      </x:c>
      <x:c r="M6" s="2" t="inlineStr">
        <x:is>
          <x:t xml:space="preserve">New</x:t>
        </x:is>
      </x:c>
    </x:row>
    <x:row r="7">
      <x:c r="A7" s="2" t="inlineStr">
        <x:is>
          <x:t xml:space="preserve">A</x:t>
        </x:is>
      </x:c>
      <x:c r="B7" s="2" t="inlineStr">
        <x:is>
          <x:t xml:space="preserve">Boutique Hotel</x:t>
        </x:is>
      </x:c>
      <x:c r="C7" s="2" t="inlineStr">
        <x:is>
          <x:t xml:space="preserve">The Twelve Apostles Hotel &amp; Spa</x:t>
        </x:is>
      </x:c>
      <x:c r="D7" s="2" t="inlineStr">
        <x:is>
          <x:t xml:space="preserve">Camps Bay</x:t>
        </x:is>
      </x:c>
      <x:c r="E7" s="2" t="inlineStr">
        <x:is>
          <x:t xml:space="preserve">Victoria Road, Camps Bay, Cape Town</x:t>
        </x:is>
      </x:c>
      <x:c r="F7" s="2" t="inlineStr">
        <x:is>
          <x:t xml:space="preserve">+27 21 437 9000</x:t>
        </x:is>
      </x:c>
      <x:c r="G7" s="2" t="inlineStr">
        <x:is>
          <x:t xml:space="preserve">reservations1@12apostles.co.za</x:t>
        </x:is>
      </x:c>
      <x:c r="H7" s="2" t="inlineStr">
        <x:is>
          <x:t xml:space="preserve">https://12apostleshotel.com/contact</x:t>
        </x:is>
      </x:c>
      <x:c r="I7" s="2" t="inlineStr">
        <x:is>
          <x:t xml:space="preserve">Beverage Manager / Sommelier</x:t>
        </x:is>
      </x:c>
      <x:c r="J7" s="2" t="inlineStr">
        <x:is>
          <x:t xml:space="preserve">5-star dining + events; premium list fit; strong seasonal demand</x:t>
        </x:is>
      </x:c>
      <x:c r="K7" s="2" t="inlineStr">
        <x:is>
          <x:t xml:space="preserve">Call for buyer name; schedule tasting; offer holiday-season case deals</x:t>
        </x:is>
      </x:c>
      <x:c r="L7" s="2" t="inlineStr">
        <x:is>
          <x:t xml:space="preserve"/>
        </x:is>
      </x:c>
      <x:c r="M7" s="2" t="inlineStr">
        <x:is>
          <x:t xml:space="preserve">New</x:t>
        </x:is>
      </x:c>
    </x:row>
    <x:row r="8">
      <x:c r="A8" s="2" t="inlineStr">
        <x:is>
          <x:t xml:space="preserve">A</x:t>
        </x:is>
      </x:c>
      <x:c r="B8" s="2" t="inlineStr">
        <x:is>
          <x:t xml:space="preserve">Boutique Hotel</x:t>
        </x:is>
      </x:c>
      <x:c r="C8" s="2" t="inlineStr">
        <x:is>
          <x:t xml:space="preserve">The Cellars-Hohenort</x:t>
        </x:is>
      </x:c>
      <x:c r="D8" s="2" t="inlineStr">
        <x:is>
          <x:t xml:space="preserve">Constantia</x:t>
        </x:is>
      </x:c>
      <x:c r="E8" s="2" t="inlineStr">
        <x:is>
          <x:t xml:space="preserve">Constantia, Cape Town (hotel contact page)</x:t>
        </x:is>
      </x:c>
      <x:c r="F8" s="2" t="inlineStr">
        <x:is>
          <x:t xml:space="preserve"/>
        </x:is>
      </x:c>
      <x:c r="G8" s="2" t="inlineStr">
        <x:is>
          <x:t xml:space="preserve"/>
        </x:is>
      </x:c>
      <x:c r="H8" s="2" t="inlineStr">
        <x:is>
          <x:t xml:space="preserve">https://www.thecellars-hohenorthotel.com/contact-us/</x:t>
        </x:is>
      </x:c>
      <x:c r="I8" s="2" t="inlineStr">
        <x:is>
          <x:t xml:space="preserve">Beverage Manager / Sommelier</x:t>
        </x:is>
      </x:c>
      <x:c r="J8" s="2" t="inlineStr">
        <x:is>
          <x:t xml:space="preserve">Luxury Constantia hotel with dining; premium wine alignment</x:t>
        </x:is>
      </x:c>
      <x:c r="K8" s="2" t="inlineStr">
        <x:is>
          <x:t xml:space="preserve">Email intro + request procurement process; propose Constantia-focused premium selection</x:t>
        </x:is>
      </x:c>
      <x:c r="L8" s="2" t="inlineStr">
        <x:is>
          <x:t xml:space="preserve"/>
        </x:is>
      </x:c>
      <x:c r="M8" s="2" t="inlineStr">
        <x:is>
          <x:t xml:space="preserve">New</x:t>
        </x:is>
      </x:c>
    </x:row>
    <x:row r="9">
      <x:c r="A9" s="2" t="inlineStr">
        <x:is>
          <x:t xml:space="preserve">B</x:t>
        </x:is>
      </x:c>
      <x:c r="B9" s="2" t="inlineStr">
        <x:is>
          <x:t xml:space="preserve">Hotel</x:t>
        </x:is>
      </x:c>
      <x:c r="C9" s="2" t="inlineStr">
        <x:is>
          <x:t xml:space="preserve">The Commodore Hotel (Legacy)</x:t>
        </x:is>
      </x:c>
      <x:c r="D9" s="2" t="inlineStr">
        <x:is>
          <x:t xml:space="preserve">V&amp;A Waterfront</x:t>
        </x:is>
      </x:c>
      <x:c r="E9" s="2" t="inlineStr">
        <x:is>
          <x:t xml:space="preserve">Portswood Road, V&amp;A Waterfront, Cape Town</x:t>
        </x:is>
      </x:c>
      <x:c r="F9" s="2" t="inlineStr">
        <x:is>
          <x:t xml:space="preserve">+27 21 415 1000</x:t>
        </x:is>
      </x:c>
      <x:c r="G9" s="2" t="inlineStr">
        <x:is>
          <x:t xml:space="preserve">commodore@legacyhotels.com</x:t>
        </x:is>
      </x:c>
      <x:c r="H9" s="2" t="inlineStr">
        <x:is>
          <x:t xml:space="preserve">https://www.legacyhotels.co.za/commodore-hotel/contact</x:t>
        </x:is>
      </x:c>
      <x:c r="I9" s="2" t="inlineStr">
        <x:is>
          <x:t xml:space="preserve">F&amp;B Manager / Procurement</x:t>
        </x:is>
      </x:c>
      <x:c r="J9" s="2" t="inlineStr">
        <x:is>
          <x:t xml:space="preserve">Tourism + conference volumes; can take steady case volumes</x:t>
        </x:is>
      </x:c>
      <x:c r="K9" s="2" t="inlineStr">
        <x:is>
          <x:t xml:space="preserve">Call then drop samples to F&amp;B office</x:t>
        </x:is>
      </x:c>
      <x:c r="L9" s="2" t="inlineStr">
        <x:is>
          <x:t xml:space="preserve"/>
        </x:is>
      </x:c>
      <x:c r="M9" s="2" t="inlineStr">
        <x:is>
          <x:t xml:space="preserve">New</x:t>
        </x:is>
      </x:c>
    </x:row>
    <x:row r="10">
      <x:c r="A10" s="2" t="inlineStr">
        <x:is>
          <x:t xml:space="preserve">A</x:t>
        </x:is>
      </x:c>
      <x:c r="B10" s="2" t="inlineStr">
        <x:is>
          <x:t xml:space="preserve">Hotel</x:t>
        </x:is>
      </x:c>
      <x:c r="C10" s="2" t="inlineStr">
        <x:is>
          <x:t xml:space="preserve">Taj Cape Town</x:t>
        </x:is>
      </x:c>
      <x:c r="D10" s="2" t="inlineStr">
        <x:is>
          <x:t xml:space="preserve">CBD</x:t>
        </x:is>
      </x:c>
      <x:c r="E10" s="2" t="inlineStr">
        <x:is>
          <x:t xml:space="preserve">1 Wale Street (corner St Georges Mall), Cape Town</x:t>
        </x:is>
      </x:c>
      <x:c r="F10" s="2" t="inlineStr">
        <x:is>
          <x:t xml:space="preserve">+27 21 819 2000</x:t>
        </x:is>
      </x:c>
      <x:c r="G10" s="2" t="inlineStr">
        <x:is>
          <x:t xml:space="preserve">sales.capetown@tajhotels.com</x:t>
        </x:is>
      </x:c>
      <x:c r="H10" s="2" t="inlineStr">
        <x:is>
          <x:t xml:space="preserve">https://www.cybo.com/ZA-biz/taj-cape-town</x:t>
        </x:is>
      </x:c>
      <x:c r="I10" s="2" t="inlineStr">
        <x:is>
          <x:t xml:space="preserve">Beverage Manager / Banqueting</x:t>
        </x:is>
      </x:c>
      <x:c r="J10" s="2" t="inlineStr">
        <x:is>
          <x:t xml:space="preserve">5-star hotel with events; premium brand fit for corporate/banqueting volumes</x:t>
        </x:is>
      </x:c>
      <x:c r="K10" s="2" t="inlineStr">
        <x:is>
          <x:t xml:space="preserve">Email banqueting + beverage; pitch event-case bundles</x:t>
        </x:is>
      </x:c>
      <x:c r="L10" s="2" t="inlineStr">
        <x:is>
          <x:t xml:space="preserve"/>
        </x:is>
      </x:c>
      <x:c r="M10" s="2" t="inlineStr">
        <x:is>
          <x:t xml:space="preserve">New</x:t>
        </x:is>
      </x:c>
    </x:row>
    <x:row r="11">
      <x:c r="A11" s="2" t="inlineStr">
        <x:is>
          <x:t xml:space="preserve">A</x:t>
        </x:is>
      </x:c>
      <x:c r="B11" s="2" t="inlineStr">
        <x:is>
          <x:t xml:space="preserve">Wine Bar</x:t>
        </x:is>
      </x:c>
      <x:c r="C11" s="2" t="inlineStr">
        <x:is>
          <x:t xml:space="preserve">Tannin (Bree Street)</x:t>
        </x:is>
      </x:c>
      <x:c r="D11" s="2" t="inlineStr">
        <x:is>
          <x:t xml:space="preserve">CBD</x:t>
        </x:is>
      </x:c>
      <x:c r="E11" s="2" t="inlineStr">
        <x:is>
          <x:t xml:space="preserve">86 Bree Street, Cape Town</x:t>
        </x:is>
      </x:c>
      <x:c r="F11" s="2" t="inlineStr">
        <x:is>
          <x:t xml:space="preserve"/>
        </x:is>
      </x:c>
      <x:c r="G11" s="2" t="inlineStr">
        <x:is>
          <x:t xml:space="preserve"/>
        </x:is>
      </x:c>
      <x:c r="H11" s="2" t="inlineStr">
        <x:is>
          <x:t xml:space="preserve">https://www.tannin.co.za/</x:t>
        </x:is>
      </x:c>
      <x:c r="I11" s="2" t="inlineStr">
        <x:is>
          <x:t xml:space="preserve">Owner/GM / Wine buyer</x:t>
        </x:is>
      </x:c>
      <x:c r="J11" s="2" t="inlineStr">
        <x:is>
          <x:t xml:space="preserve">Large label selection (430+); wine-first venue; frequent reorders</x:t>
        </x:is>
      </x:c>
      <x:c r="K11" s="2" t="inlineStr">
        <x:is>
          <x:t xml:space="preserve">Walk-in mid-afternoon; leave trade list; set tasting date</x:t>
        </x:is>
      </x:c>
      <x:c r="L11" s="2" t="inlineStr">
        <x:is>
          <x:t xml:space="preserve"/>
        </x:is>
      </x:c>
      <x:c r="M11" s="2" t="inlineStr">
        <x:is>
          <x:t xml:space="preserve">New</x:t>
        </x:is>
      </x:c>
    </x:row>
    <x:row r="12">
      <x:c r="A12" s="2" t="inlineStr">
        <x:is>
          <x:t xml:space="preserve">A</x:t>
        </x:is>
      </x:c>
      <x:c r="B12" s="2" t="inlineStr">
        <x:is>
          <x:t xml:space="preserve">Wine Bar</x:t>
        </x:is>
      </x:c>
      <x:c r="C12" s="2" t="inlineStr">
        <x:is>
          <x:t xml:space="preserve">Culture Wine Bar (Bree Street)</x:t>
        </x:is>
      </x:c>
      <x:c r="D12" s="2" t="inlineStr">
        <x:is>
          <x:t xml:space="preserve">CBD</x:t>
        </x:is>
      </x:c>
      <x:c r="E12" s="2" t="inlineStr">
        <x:is>
          <x:t xml:space="preserve">103 Bree Street, Cape Town</x:t>
        </x:is>
      </x:c>
      <x:c r="F12" s="2" t="inlineStr">
        <x:is>
          <x:t xml:space="preserve">+27 21 216 0035</x:t>
        </x:is>
      </x:c>
      <x:c r="G12" s="2" t="inlineStr">
        <x:is>
          <x:t xml:space="preserve">hello@grubandvine.co.za</x:t>
        </x:is>
      </x:c>
      <x:c r="H12" s="2" t="inlineStr">
        <x:is>
          <x:t xml:space="preserve">https://culturewinebar.com/wine/</x:t>
        </x:is>
      </x:c>
      <x:c r="I12" s="2" t="inlineStr">
        <x:is>
          <x:t xml:space="preserve">Owner/GM / Sommelier</x:t>
        </x:is>
      </x:c>
      <x:c r="J12" s="2" t="inlineStr">
        <x:is>
          <x:t xml:space="preserve">Wine-centric program; curated selection; good for premium by-the-bottle</x:t>
        </x:is>
      </x:c>
      <x:c r="K12" s="2" t="inlineStr">
        <x:is>
          <x:t xml:space="preserve">Walk-in 2–4pm; offer 6-bottle tasting set</x:t>
        </x:is>
      </x:c>
      <x:c r="L12" s="2" t="inlineStr">
        <x:is>
          <x:t xml:space="preserve"/>
        </x:is>
      </x:c>
      <x:c r="M12" s="2" t="inlineStr">
        <x:is>
          <x:t xml:space="preserve">New</x:t>
        </x:is>
      </x:c>
    </x:row>
    <x:row r="13">
      <x:c r="A13" s="2" t="inlineStr">
        <x:is>
          <x:t xml:space="preserve">A</x:t>
        </x:is>
      </x:c>
      <x:c r="B13" s="2" t="inlineStr">
        <x:is>
          <x:t xml:space="preserve">Wine Bar</x:t>
        </x:is>
      </x:c>
      <x:c r="C13" s="2" t="inlineStr">
        <x:is>
          <x:t xml:space="preserve">Leo's Wine Shop &amp; Bar</x:t>
        </x:is>
      </x:c>
      <x:c r="D13" s="2" t="inlineStr">
        <x:is>
          <x:t xml:space="preserve">CBD</x:t>
        </x:is>
      </x:c>
      <x:c r="E13" s="2" t="inlineStr">
        <x:is>
          <x:t xml:space="preserve">De Oude Schuur, 120 Bree Street, Cape Town</x:t>
        </x:is>
      </x:c>
      <x:c r="F13" s="2" t="inlineStr">
        <x:is>
          <x:t xml:space="preserve"/>
        </x:is>
      </x:c>
      <x:c r="G13" s="2" t="inlineStr">
        <x:is>
          <x:t xml:space="preserve"/>
        </x:is>
      </x:c>
      <x:c r="H13" s="2" t="inlineStr">
        <x:is>
          <x:t xml:space="preserve">https://www.leoswinebar.com/</x:t>
        </x:is>
      </x:c>
      <x:c r="I13" s="2" t="inlineStr">
        <x:is>
          <x:t xml:space="preserve">Owner/GM</x:t>
        </x:is>
      </x:c>
      <x:c r="J13" s="2" t="inlineStr">
        <x:is>
          <x:t xml:space="preserve">Smaller-producer focus; can take parcels/allocations and rotate frequently</x:t>
        </x:is>
      </x:c>
      <x:c r="K13" s="2" t="inlineStr">
        <x:is>
          <x:t xml:space="preserve">Walk-in early afternoon; propose low-intervention/premium parcel</x:t>
        </x:is>
      </x:c>
      <x:c r="L13" s="2" t="inlineStr">
        <x:is>
          <x:t xml:space="preserve"/>
        </x:is>
      </x:c>
      <x:c r="M13" s="2" t="inlineStr">
        <x:is>
          <x:t xml:space="preserve">New</x:t>
        </x:is>
      </x:c>
    </x:row>
    <x:row r="14">
      <x:c r="A14" s="2" t="inlineStr">
        <x:is>
          <x:t xml:space="preserve">A</x:t>
        </x:is>
      </x:c>
      <x:c r="B14" s="2" t="inlineStr">
        <x:is>
          <x:t xml:space="preserve">Wine Bar / Restaurant</x:t>
        </x:is>
      </x:c>
      <x:c r="C14" s="2" t="inlineStr">
        <x:is>
          <x:t xml:space="preserve">Judd's Local</x:t>
        </x:is>
      </x:c>
      <x:c r="D14" s="2" t="inlineStr">
        <x:is>
          <x:t xml:space="preserve">Gardens / Kloof St</x:t>
        </x:is>
      </x:c>
      <x:c r="E14" s="2" t="inlineStr">
        <x:is>
          <x:t xml:space="preserve">141 Kloof Street, Gardens, Cape Town</x:t>
        </x:is>
      </x:c>
      <x:c r="F14" s="2" t="inlineStr">
        <x:is>
          <x:t xml:space="preserve">+27 64 527 1272</x:t>
        </x:is>
      </x:c>
      <x:c r="G14" s="2" t="inlineStr">
        <x:is>
          <x:t xml:space="preserve">info@juddslocal.co.za</x:t>
        </x:is>
      </x:c>
      <x:c r="H14" s="2" t="inlineStr">
        <x:is>
          <x:t xml:space="preserve">https://juddslocal.co.za/</x:t>
        </x:is>
      </x:c>
      <x:c r="I14" s="2" t="inlineStr">
        <x:is>
          <x:t xml:space="preserve">Owner/GM / Buyer</x:t>
        </x:is>
      </x:c>
      <x:c r="J14" s="2" t="inlineStr">
        <x:is>
          <x:t xml:space="preserve">Wine bar + dining; premium audience; suitable for case deals and features</x:t>
        </x:is>
      </x:c>
      <x:c r="K14" s="2" t="inlineStr">
        <x:is>
          <x:t xml:space="preserve">Call to book buyer meeting; bring samples</x:t>
        </x:is>
      </x:c>
      <x:c r="L14" s="2" t="inlineStr">
        <x:is>
          <x:t xml:space="preserve"/>
        </x:is>
      </x:c>
      <x:c r="M14" s="2" t="inlineStr">
        <x:is>
          <x:t xml:space="preserve">New</x:t>
        </x:is>
      </x:c>
    </x:row>
    <x:row r="15">
      <x:c r="A15" s="2" t="inlineStr">
        <x:is>
          <x:t xml:space="preserve">A</x:t>
        </x:is>
      </x:c>
      <x:c r="B15" s="2" t="inlineStr">
        <x:is>
          <x:t xml:space="preserve">Corporate Gifting</x:t>
        </x:is>
      </x:c>
      <x:c r="C15" s="2" t="inlineStr">
        <x:is>
          <x:t xml:space="preserve">Hamper World (Corporate Gifts)</x:t>
        </x:is>
      </x:c>
      <x:c r="D15" s="2" t="inlineStr">
        <x:is>
          <x:t xml:space="preserve">Cape Town (delivers)</x:t>
        </x:is>
      </x:c>
      <x:c r="E15" s="2" t="inlineStr">
        <x:is>
          <x:t xml:space="preserve"/>
        </x:is>
      </x:c>
      <x:c r="F15" s="2" t="inlineStr">
        <x:is>
          <x:t xml:space="preserve"/>
        </x:is>
      </x:c>
      <x:c r="G15" s="2" t="inlineStr">
        <x:is>
          <x:t xml:space="preserve"/>
        </x:is>
      </x:c>
      <x:c r="H15" s="2" t="inlineStr">
        <x:is>
          <x:t xml:space="preserve">https://hamperworld.co.za/corporate-gifts/</x:t>
        </x:is>
      </x:c>
      <x:c r="I15" s="2" t="inlineStr">
        <x:is>
          <x:t xml:space="preserve">Buyer / Sourcing</x:t>
        </x:is>
      </x:c>
      <x:c r="J15" s="2" t="inlineStr">
        <x:is>
          <x:t xml:space="preserve">Corporate/bespoke gifts; can move volume in Q3–Q4 with bundles</x:t>
        </x:is>
      </x:c>
      <x:c r="K15" s="2" t="inlineStr">
        <x:is>
          <x:t xml:space="preserve">Email proposal: 6/12 bottle bundles + pricing tiers</x:t>
        </x:is>
      </x:c>
      <x:c r="L15" s="2" t="inlineStr">
        <x:is>
          <x:t xml:space="preserve"/>
        </x:is>
      </x:c>
      <x:c r="M15" s="2" t="inlineStr">
        <x:is>
          <x:t xml:space="preserve">New</x:t>
        </x:is>
      </x:c>
    </x:row>
    <x:row r="16">
      <x:c r="A16" s="2" t="inlineStr">
        <x:is>
          <x:t xml:space="preserve">A</x:t>
        </x:is>
      </x:c>
      <x:c r="B16" s="2" t="inlineStr">
        <x:is>
          <x:t xml:space="preserve">Corporate Gifting</x:t>
        </x:is>
      </x:c>
      <x:c r="C16" s="2" t="inlineStr">
        <x:is>
          <x:t xml:space="preserve">Gift Hampers South Africa</x:t>
        </x:is>
      </x:c>
      <x:c r="D16" s="2" t="inlineStr">
        <x:is>
          <x:t xml:space="preserve">Cape Town (delivers)</x:t>
        </x:is>
      </x:c>
      <x:c r="E16" s="2" t="inlineStr">
        <x:is>
          <x:t xml:space="preserve"/>
        </x:is>
      </x:c>
      <x:c r="F16" s="2" t="inlineStr">
        <x:is>
          <x:t xml:space="preserve"/>
        </x:is>
      </x:c>
      <x:c r="G16" s="2" t="inlineStr">
        <x:is>
          <x:t xml:space="preserve"/>
        </x:is>
      </x:c>
      <x:c r="H16" s="2" t="inlineStr">
        <x:is>
          <x:t xml:space="preserve">https://www.gifthamperssouthafrica.com/</x:t>
        </x:is>
      </x:c>
      <x:c r="I16" s="2" t="inlineStr">
        <x:is>
          <x:t xml:space="preserve">Buyer / Ops</x:t>
        </x:is>
      </x:c>
      <x:c r="J16" s="2" t="inlineStr">
        <x:is>
          <x:t xml:space="preserve">Wine-inclusive corporate hampers; bulk-order friendly</x:t>
        </x:is>
      </x:c>
      <x:c r="K16" s="2" t="inlineStr">
        <x:is>
          <x:t xml:space="preserve">Email intro + bundle catalog + lead times</x:t>
        </x:is>
      </x:c>
      <x:c r="L16" s="2" t="inlineStr">
        <x:is>
          <x:t xml:space="preserve"/>
        </x:is>
      </x:c>
      <x:c r="M16" s="2" t="inlineStr">
        <x:is>
          <x:t xml:space="preserve">New</x:t>
        </x:is>
      </x:c>
    </x:row>
    <x:row r="17">
      <x:c r="A17" s="2" t="inlineStr">
        <x:is>
          <x:t xml:space="preserve">B</x:t>
        </x:is>
      </x:c>
      <x:c r="B17" s="2" t="inlineStr">
        <x:is>
          <x:t xml:space="preserve">Corporate Gifting</x:t>
        </x:is>
      </x:c>
      <x:c r="C17" s="2" t="inlineStr">
        <x:is>
          <x:t xml:space="preserve">GiftLady</x:t>
        </x:is>
      </x:c>
      <x:c r="D17" s="2" t="inlineStr">
        <x:is>
          <x:t xml:space="preserve">Cape Town (delivery)</x:t>
        </x:is>
      </x:c>
      <x:c r="E17" s="2" t="inlineStr">
        <x:is>
          <x:t xml:space="preserve"/>
        </x:is>
      </x:c>
      <x:c r="F17" s="2" t="inlineStr">
        <x:is>
          <x:t xml:space="preserve">0861 100 800</x:t>
        </x:is>
      </x:c>
      <x:c r="G17" s="2" t="inlineStr">
        <x:is>
          <x:t xml:space="preserve"/>
        </x:is>
      </x:c>
      <x:c r="H17" s="2" t="inlineStr">
        <x:is>
          <x:t xml:space="preserve">https://www.giftlady.co.za/</x:t>
        </x:is>
      </x:c>
      <x:c r="I17" s="2" t="inlineStr">
        <x:is>
          <x:t xml:space="preserve">Corporate sales / Buyer</x:t>
        </x:is>
      </x:c>
      <x:c r="J17" s="2" t="inlineStr">
        <x:is>
          <x:t xml:space="preserve">Wine hampers + bulk orders; potential monthly corporate runs</x:t>
        </x:is>
      </x:c>
      <x:c r="K17" s="2" t="inlineStr">
        <x:is>
          <x:t xml:space="preserve">Call corporate services; propose standard bundles + custom labels</x:t>
        </x:is>
      </x:c>
      <x:c r="L17" s="2" t="inlineStr">
        <x:is>
          <x:t xml:space="preserve"/>
        </x:is>
      </x:c>
      <x:c r="M17" s="2" t="inlineStr">
        <x:is>
          <x:t xml:space="preserve">New</x:t>
        </x:is>
      </x:c>
    </x:row>
    <x:row r="18">
      <x:c r="A18" s="2" t="inlineStr">
        <x:is>
          <x:t xml:space="preserve">B</x:t>
        </x:is>
      </x:c>
      <x:c r="B18" s="2" t="inlineStr">
        <x:is>
          <x:t xml:space="preserve">Corporate Gifting</x:t>
        </x:is>
      </x:c>
      <x:c r="C18" s="2" t="inlineStr">
        <x:is>
          <x:t xml:space="preserve">Cape Locavore</x:t>
        </x:is>
      </x:c>
      <x:c r="D18" s="2" t="inlineStr">
        <x:is>
          <x:t xml:space="preserve">Cape Town (delivery)</x:t>
        </x:is>
      </x:c>
      <x:c r="E18" s="2" t="inlineStr">
        <x:is>
          <x:t xml:space="preserve"/>
        </x:is>
      </x:c>
      <x:c r="F18" s="2" t="inlineStr">
        <x:is>
          <x:t xml:space="preserve"/>
        </x:is>
      </x:c>
      <x:c r="G18" s="2" t="inlineStr">
        <x:is>
          <x:t xml:space="preserve"/>
        </x:is>
      </x:c>
      <x:c r="H18" s="2" t="inlineStr">
        <x:is>
          <x:t xml:space="preserve">https://www.cape-locavore.co.za/</x:t>
        </x:is>
      </x:c>
      <x:c r="I18" s="2" t="inlineStr">
        <x:is>
          <x:t xml:space="preserve">Buyer / Partnerships</x:t>
        </x:is>
      </x:c>
      <x:c r="J18" s="2" t="inlineStr">
        <x:is>
          <x:t xml:space="preserve">Luxury gifting; good for premium positioning and curated cases</x:t>
        </x:is>
      </x:c>
      <x:c r="K18" s="2" t="inlineStr">
        <x:is>
          <x:t xml:space="preserve">Email partnership pitch + sample pack</x:t>
        </x:is>
      </x:c>
      <x:c r="L18" s="2" t="inlineStr">
        <x:is>
          <x:t xml:space="preserve"/>
        </x:is>
      </x:c>
      <x:c r="M18" s="2" t="inlineStr">
        <x:is>
          <x:t xml:space="preserve">New</x:t>
        </x:is>
      </x:c>
    </x:row>
    <x:row r="19">
      <x:c r="A19" s="2" t="inlineStr">
        <x:is>
          <x:t xml:space="preserve">A</x:t>
        </x:is>
      </x:c>
      <x:c r="B19" s="2" t="inlineStr">
        <x:is>
          <x:t xml:space="preserve">Liquor Retail</x:t>
        </x:is>
      </x:c>
      <x:c r="C19" s="2" t="inlineStr">
        <x:is>
          <x:t xml:space="preserve">Norman Goodfellows (Gardens store)</x:t>
        </x:is>
      </x:c>
      <x:c r="D19" s="2" t="inlineStr">
        <x:is>
          <x:t xml:space="preserve">Gardens</x:t>
        </x:is>
      </x:c>
      <x:c r="E19" s="2" t="inlineStr">
        <x:is>
          <x:t xml:space="preserve">Gardens Shopping Centre, Mill Street, Cape Town</x:t>
        </x:is>
      </x:c>
      <x:c r="F19" s="2" t="inlineStr">
        <x:is>
          <x:t xml:space="preserve">+27 21 461 2270</x:t>
        </x:is>
      </x:c>
      <x:c r="G19" s="2" t="inlineStr">
        <x:is>
          <x:t xml:space="preserve">vuyolwethucepu@ngf.co.za</x:t>
        </x:is>
      </x:c>
      <x:c r="H19" s="2" t="inlineStr">
        <x:is>
          <x:t xml:space="preserve">https://www.ngf.co.za/contact-us/</x:t>
        </x:is>
      </x:c>
      <x:c r="I19" s="2" t="inlineStr">
        <x:is>
          <x:t xml:space="preserve">Store manager / Regional manager</x:t>
        </x:is>
      </x:c>
      <x:c r="J19" s="2" t="inlineStr">
        <x:is>
          <x:t xml:space="preserve">Premium liquor retailer; can take case parcels + seasonal promos</x:t>
        </x:is>
      </x:c>
      <x:c r="K19" s="2" t="inlineStr">
        <x:is>
          <x:t xml:space="preserve">Call store manager; propose premium case deal + promo support</x:t>
        </x:is>
      </x:c>
      <x:c r="L19" s="2" t="inlineStr">
        <x:is>
          <x:t xml:space="preserve"/>
        </x:is>
      </x:c>
      <x:c r="M19" s="2" t="inlineStr">
        <x:is>
          <x:t xml:space="preserve">New</x:t>
        </x:is>
      </x:c>
    </x:row>
    <x:row r="20">
      <x:c r="A20" s="2" t="inlineStr">
        <x:is>
          <x:t xml:space="preserve">A</x:t>
        </x:is>
      </x:c>
      <x:c r="B20" s="2" t="inlineStr">
        <x:is>
          <x:t xml:space="preserve">Liquor Retail</x:t>
        </x:is>
      </x:c>
      <x:c r="C20" s="2" t="inlineStr">
        <x:is>
          <x:t xml:space="preserve">Norman Goodfellows (Three Anchor Bay store)</x:t>
        </x:is>
      </x:c>
      <x:c r="D20" s="2" t="inlineStr">
        <x:is>
          <x:t xml:space="preserve">Three Anchor Bay</x:t>
        </x:is>
      </x:c>
      <x:c r="E20" s="2" t="inlineStr">
        <x:is>
          <x:t xml:space="preserve">Bay Point Centre, Beach Rd &amp; Stanley Place, Three Anchor Bay, Cape Town</x:t>
        </x:is>
      </x:c>
      <x:c r="F20" s="2" t="inlineStr">
        <x:is>
          <x:t xml:space="preserve">+27 21 439 1112</x:t>
        </x:is>
      </x:c>
      <x:c r="G20" s="2" t="inlineStr">
        <x:is>
          <x:t xml:space="preserve">joline@ngf.co.za</x:t>
        </x:is>
      </x:c>
      <x:c r="H20" s="2" t="inlineStr">
        <x:is>
          <x:t xml:space="preserve">https://www.ngf.co.za/contact-us/</x:t>
        </x:is>
      </x:c>
      <x:c r="I20" s="2" t="inlineStr">
        <x:is>
          <x:t xml:space="preserve">Store manager</x:t>
        </x:is>
      </x:c>
      <x:c r="J20" s="2" t="inlineStr">
        <x:is>
          <x:t xml:space="preserve">High traffic area; premium baskets; good for repeat replenishment</x:t>
        </x:is>
      </x:c>
      <x:c r="K20" s="2" t="inlineStr">
        <x:is>
          <x:t xml:space="preserve">Call then drop price list + samples</x:t>
        </x:is>
      </x:c>
      <x:c r="L20" s="2" t="inlineStr">
        <x:is>
          <x:t xml:space="preserve"/>
        </x:is>
      </x:c>
      <x:c r="M20" s="2" t="inlineStr">
        <x:is>
          <x:t xml:space="preserve">New</x:t>
        </x:is>
      </x:c>
    </x:row>
    <x:row r="21">
      <x:c r="A21" s="2" t="inlineStr">
        <x:is>
          <x:t xml:space="preserve">B</x:t>
        </x:is>
      </x:c>
      <x:c r="B21" s="2" t="inlineStr">
        <x:is>
          <x:t xml:space="preserve">Liquor Retail</x:t>
        </x:is>
      </x:c>
      <x:c r="C21" s="2" t="inlineStr">
        <x:is>
          <x:t xml:space="preserve">Checkers LiquorShop (Sea Point)</x:t>
        </x:is>
      </x:c>
      <x:c r="D21" s="2" t="inlineStr">
        <x:is>
          <x:t xml:space="preserve">Sea Point</x:t>
        </x:is>
      </x:c>
      <x:c r="E21" s="2" t="inlineStr">
        <x:is>
          <x:t xml:space="preserve">Sea Point, Cape Town</x:t>
        </x:is>
      </x:c>
      <x:c r="F21" s="2" t="inlineStr">
        <x:is>
          <x:t xml:space="preserve">+27 21 430 4680</x:t>
        </x:is>
      </x:c>
      <x:c r="G21" s="2" t="inlineStr">
        <x:is>
          <x:t xml:space="preserve"/>
        </x:is>
      </x:c>
      <x:c r="H21" s="2" t="inlineStr">
        <x:is>
          <x:t xml:space="preserve">https://www.africabizinfo.com/ZA/checkers-liquorshop-sea-point_1u-021-430-4680</x:t>
        </x:is>
      </x:c>
      <x:c r="I21" s="2" t="inlineStr">
        <x:is>
          <x:t xml:space="preserve">Store manager / Regional buyer</x:t>
        </x:is>
      </x:c>
      <x:c r="J21" s="2" t="inlineStr">
        <x:is>
          <x:t xml:space="preserve">Liquor specialist; can move volume if listed; may require central procurement</x:t>
        </x:is>
      </x:c>
      <x:c r="K21" s="2" t="inlineStr">
        <x:is>
          <x:t xml:space="preserve">Call to confirm procurement path; request intro to buyer</x:t>
        </x:is>
      </x:c>
      <x:c r="L21" s="2" t="inlineStr">
        <x:is>
          <x:t xml:space="preserve"/>
        </x:is>
      </x:c>
      <x:c r="M21" s="2" t="inlineStr">
        <x:is>
          <x:t xml:space="preserve">New</x:t>
        </x:is>
      </x:c>
    </x:row>
    <x:row r="22">
      <x:c r="A22" s="2" t="inlineStr">
        <x:is>
          <x:t xml:space="preserve">B</x:t>
        </x:is>
      </x:c>
      <x:c r="B22" s="2" t="inlineStr">
        <x:is>
          <x:t xml:space="preserve">Liquor Retail</x:t>
        </x:is>
      </x:c>
      <x:c r="C22" s="2" t="inlineStr">
        <x:is>
          <x:t xml:space="preserve">ULTRA Liquors (Sea Point area)</x:t>
        </x:is>
      </x:c>
      <x:c r="D22" s="2" t="inlineStr">
        <x:is>
          <x:t xml:space="preserve">Sea Point</x:t>
        </x:is>
      </x:c>
      <x:c r="E22" s="2" t="inlineStr">
        <x:is>
          <x:t xml:space="preserve">Sea Point, Cape Town (listing)</x:t>
        </x:is>
      </x:c>
      <x:c r="F22" s="2" t="inlineStr">
        <x:is>
          <x:t xml:space="preserve">021 434 4302</x:t>
        </x:is>
      </x:c>
      <x:c r="G22" s="2" t="inlineStr">
        <x:is>
          <x:t xml:space="preserve"/>
        </x:is>
      </x:c>
      <x:c r="H22" s="2" t="inlineStr">
        <x:is>
          <x:t xml:space="preserve">https://www.africabizinfo.com/ZA/ultra-liquors_118-021-434-4302</x:t>
        </x:is>
      </x:c>
      <x:c r="I22" s="2" t="inlineStr">
        <x:is>
          <x:t xml:space="preserve">Owner/Manager</x:t>
        </x:is>
      </x:c>
      <x:c r="J22" s="2" t="inlineStr">
        <x:is>
          <x:t xml:space="preserve">Independent liquor store; quicker decision cycles; case-volume potential</x:t>
        </x:is>
      </x:c>
      <x:c r="K22" s="2" t="inlineStr">
        <x:is>
          <x:t xml:space="preserve">Call + visit with trade list</x:t>
        </x:is>
      </x:c>
      <x:c r="L22" s="2" t="inlineStr">
        <x:is>
          <x:t xml:space="preserve"/>
        </x:is>
      </x:c>
      <x:c r="M22" s="2" t="inlineStr">
        <x:is>
          <x:t xml:space="preserve">New</x:t>
        </x:is>
      </x:c>
    </x:row>
    <x:row r="23">
      <x:c r="A23" s="2" t="inlineStr">
        <x:is>
          <x:t xml:space="preserve">A</x:t>
        </x:is>
      </x:c>
      <x:c r="B23" s="2" t="inlineStr">
        <x:is>
          <x:t xml:space="preserve">Distributor</x:t>
        </x:is>
      </x:c>
      <x:c r="C23" s="2" t="inlineStr">
        <x:is>
          <x:t xml:space="preserve">VDP Distributors (Cape Town hub)</x:t>
        </x:is>
      </x:c>
      <x:c r="D23" s="2" t="inlineStr">
        <x:is>
          <x:t xml:space="preserve">Cape Town (hub)</x:t>
        </x:is>
      </x:c>
      <x:c r="E23" s="2" t="inlineStr">
        <x:is>
          <x:t xml:space="preserve"/>
        </x:is>
      </x:c>
      <x:c r="F23" s="2" t="inlineStr">
        <x:is>
          <x:t xml:space="preserve"/>
        </x:is>
      </x:c>
      <x:c r="G23" s="2" t="inlineStr">
        <x:is>
          <x:t xml:space="preserve"/>
        </x:is>
      </x:c>
      <x:c r="H23" s="2" t="inlineStr">
        <x:is>
          <x:t xml:space="preserve">https://www.vdpdistributors.co.za/</x:t>
        </x:is>
      </x:c>
      <x:c r="I23" s="2" t="inlineStr">
        <x:is>
          <x:t xml:space="preserve">Sales director / Procurement</x:t>
        </x:is>
      </x:c>
      <x:c r="J23" s="2" t="inlineStr">
        <x:is>
          <x:t xml:space="preserve">Distributor with CT hub; can move volume via existing channels</x:t>
        </x:is>
      </x:c>
      <x:c r="K23" s="2" t="inlineStr">
        <x:is>
          <x:t xml:space="preserve">Email partnership + pricing for bulk pallets + delivery terms</x:t>
        </x:is>
      </x:c>
      <x:c r="L23" s="2" t="inlineStr">
        <x:is>
          <x:t xml:space="preserve"/>
        </x:is>
      </x:c>
      <x:c r="M23" s="2" t="inlineStr">
        <x:is>
          <x:t xml:space="preserve">New</x:t>
        </x:is>
      </x:c>
    </x:row>
    <x:row r="24">
      <x:c r="A24" s="2" t="inlineStr">
        <x:is>
          <x:t xml:space="preserve">B</x:t>
        </x:is>
      </x:c>
      <x:c r="B24" s="2" t="inlineStr">
        <x:is>
          <x:t xml:space="preserve">Distributor</x:t>
        </x:is>
      </x:c>
      <x:c r="C24" s="2" t="inlineStr">
        <x:is>
          <x:t xml:space="preserve">Skywalker Distribution</x:t>
        </x:is>
      </x:c>
      <x:c r="D24" s="2" t="inlineStr">
        <x:is>
          <x:t xml:space="preserve">Cape Town (online/distribution)</x:t>
        </x:is>
      </x:c>
      <x:c r="E24" s="2" t="inlineStr">
        <x:is>
          <x:t xml:space="preserve"/>
        </x:is>
      </x:c>
      <x:c r="F24" s="2" t="inlineStr">
        <x:is>
          <x:t xml:space="preserve"/>
        </x:is>
      </x:c>
      <x:c r="G24" s="2" t="inlineStr">
        <x:is>
          <x:t xml:space="preserve"/>
        </x:is>
      </x:c>
      <x:c r="H24" s="2" t="inlineStr">
        <x:is>
          <x:t xml:space="preserve">https://www.skywalkerdistribution.com/</x:t>
        </x:is>
      </x:c>
      <x:c r="I24" s="2" t="inlineStr">
        <x:is>
          <x:t xml:space="preserve">Procurement / Category manager</x:t>
        </x:is>
      </x:c>
      <x:c r="J24" s="2" t="inlineStr">
        <x:is>
          <x:t xml:space="preserve">Broad liquor distribution; potential to place SKUs quickly</x:t>
        </x:is>
      </x:c>
      <x:c r="K24" s="2" t="inlineStr">
        <x:is>
          <x:t xml:space="preserve">Submit catalog + trade pricing; ask about listing requirements</x:t>
        </x:is>
      </x:c>
      <x:c r="L24" s="2" t="inlineStr">
        <x:is>
          <x:t xml:space="preserve"/>
        </x:is>
      </x:c>
      <x:c r="M24" s="2" t="inlineStr">
        <x:is>
          <x:t xml:space="preserve">New</x:t>
        </x:is>
      </x:c>
    </x:row>
    <x:row r="25">
      <x:c r="A25" s="2" t="inlineStr">
        <x:is>
          <x:t xml:space="preserve">B</x:t>
        </x:is>
      </x:c>
      <x:c r="B25" s="2" t="inlineStr">
        <x:is>
          <x:t xml:space="preserve">Wholesale/Retail</x:t>
        </x:is>
      </x:c>
      <x:c r="C25" s="2" t="inlineStr">
        <x:is>
          <x:t xml:space="preserve">Wine-Warehouse</x:t>
        </x:is>
      </x:c>
      <x:c r="D25" s="2" t="inlineStr">
        <x:is>
          <x:t xml:space="preserve">Cape Town (stores)</x:t>
        </x:is>
      </x:c>
      <x:c r="E25" s="2" t="inlineStr">
        <x:is>
          <x:t xml:space="preserve"/>
        </x:is>
      </x:c>
      <x:c r="F25" s="2" t="inlineStr">
        <x:is>
          <x:t xml:space="preserve"/>
        </x:is>
      </x:c>
      <x:c r="G25" s="2" t="inlineStr">
        <x:is>
          <x:t xml:space="preserve"/>
        </x:is>
      </x:c>
      <x:c r="H25" s="2" t="inlineStr">
        <x:is>
          <x:t xml:space="preserve">https://wine-warehouse.co.za/</x:t>
        </x:is>
      </x:c>
      <x:c r="I25" s="2" t="inlineStr">
        <x:is>
          <x:t xml:space="preserve">Operations / Buyer</x:t>
        </x:is>
      </x:c>
      <x:c r="J25" s="2" t="inlineStr">
        <x:is>
          <x:t xml:space="preserve">Wholesale-price model; can shift volume with promotions</x:t>
        </x:is>
      </x:c>
      <x:c r="K25" s="2" t="inlineStr">
        <x:is>
          <x:t xml:space="preserve">Contact via site; propose pallet deals + promo windows</x:t>
        </x:is>
      </x:c>
      <x:c r="L25" s="2" t="inlineStr">
        <x:is>
          <x:t xml:space="preserve"/>
        </x:is>
      </x:c>
      <x:c r="M25" s="2" t="inlineStr">
        <x:is>
          <x:t xml:space="preserve">New</x:t>
        </x:is>
      </x:c>
    </x:row>
    <x:row r="26">
      <x:c r="A26" s="2" t="inlineStr">
        <x:is>
          <x:t xml:space="preserve">B</x:t>
        </x:is>
      </x:c>
      <x:c r="B26" s="2" t="inlineStr">
        <x:is>
          <x:t xml:space="preserve">Wholesale</x:t>
        </x:is>
      </x:c>
      <x:c r="C26" s="2" t="inlineStr">
        <x:is>
          <x:t xml:space="preserve">Red Star Wholesale (Online)</x:t>
        </x:is>
      </x:c>
      <x:c r="D26" s="2" t="inlineStr">
        <x:is>
          <x:t xml:space="preserve">Cape Town (delivery)</x:t>
        </x:is>
      </x:c>
      <x:c r="E26" s="2" t="inlineStr">
        <x:is>
          <x:t xml:space="preserve"/>
        </x:is>
      </x:c>
      <x:c r="F26" s="2" t="inlineStr">
        <x:is>
          <x:t xml:space="preserve"/>
        </x:is>
      </x:c>
      <x:c r="G26" s="2" t="inlineStr">
        <x:is>
          <x:t xml:space="preserve"/>
        </x:is>
      </x:c>
      <x:c r="H26" s="2" t="inlineStr">
        <x:is>
          <x:t xml:space="preserve">https://www.redstarwholesale.co.za/wine-and-liquor</x:t>
        </x:is>
      </x:c>
      <x:c r="I26" s="2" t="inlineStr">
        <x:is>
          <x:t xml:space="preserve">Category buyer</x:t>
        </x:is>
      </x:c>
      <x:c r="J26" s="2" t="inlineStr">
        <x:is>
          <x:t xml:space="preserve">Wholesale channel; volume potential if SKU listed</x:t>
        </x:is>
      </x:c>
      <x:c r="K26" s="2" t="inlineStr">
        <x:is>
          <x:t xml:space="preserve">Contact for onboarding; propose bulk pricing tiers</x:t>
        </x:is>
      </x:c>
      <x:c r="L26" s="2" t="inlineStr">
        <x:is>
          <x:t xml:space="preserve"/>
        </x:is>
      </x:c>
      <x:c r="M26" s="2" t="inlineStr">
        <x:is>
          <x:t xml:space="preserve">New</x:t>
        </x:is>
      </x:c>
    </x:row>
    <x:row r="27">
      <x:c r="A27" s="2" t="inlineStr">
        <x:is>
          <x:t xml:space="preserve">A</x:t>
        </x:is>
      </x:c>
      <x:c r="B27" s="2" t="inlineStr">
        <x:is>
          <x:t xml:space="preserve">Wine Bar</x:t>
        </x:is>
      </x:c>
      <x:c r="C27" s="2" t="inlineStr">
        <x:is>
          <x:t xml:space="preserve">Publik Wine Bar</x:t>
        </x:is>
      </x:c>
      <x:c r="D27" s="2" t="inlineStr">
        <x:is>
          <x:t xml:space="preserve">Tamboerskloof</x:t>
        </x:is>
      </x:c>
      <x:c r="E27" s="2" t="inlineStr">
        <x:is>
          <x:t xml:space="preserve">11D Kloofnek Road, Tamboerskloof, Cape Town</x:t>
        </x:is>
      </x:c>
      <x:c r="F27" s="2" t="inlineStr">
        <x:is>
          <x:t xml:space="preserve"/>
        </x:is>
      </x:c>
      <x:c r="G27" s="2" t="inlineStr">
        <x:is>
          <x:t xml:space="preserve">winebar@publik.co.za</x:t>
        </x:is>
      </x:c>
      <x:c r="H27" s="2" t="inlineStr">
        <x:is>
          <x:t xml:space="preserve">https://publik.co.za/contact-us/</x:t>
        </x:is>
      </x:c>
      <x:c r="I27" s="2" t="inlineStr">
        <x:is>
          <x:t xml:space="preserve">Owner/GM / Wine buyer</x:t>
        </x:is>
      </x:c>
      <x:c r="J27" s="2" t="inlineStr">
        <x:is>
          <x:t xml:space="preserve">Artisan SA wine focus; strong premium bottle turnover</x:t>
        </x:is>
      </x:c>
      <x:c r="K27" s="2" t="inlineStr">
        <x:is>
          <x:t xml:space="preserve">Walk-in 3–5pm; book quick tasting</x:t>
        </x:is>
      </x:c>
      <x:c r="L27" s="2" t="inlineStr">
        <x:is>
          <x:t xml:space="preserve"/>
        </x:is>
      </x:c>
      <x:c r="M27" s="2" t="inlineStr">
        <x:is>
          <x:t xml:space="preserve">New</x:t>
        </x:is>
      </x:c>
    </x:row>
    <x:row r="28">
      <x:c r="A28" s="2" t="inlineStr">
        <x:is>
          <x:t xml:space="preserve">A</x:t>
        </x:is>
      </x:c>
      <x:c r="B28" s="2" t="inlineStr">
        <x:is>
          <x:t xml:space="preserve">Wine Bar / Tasting Room</x:t>
        </x:is>
      </x:c>
      <x:c r="C28" s="2" t="inlineStr">
        <x:is>
          <x:t xml:space="preserve">Openwine</x:t>
        </x:is>
      </x:c>
      <x:c r="D28" s="2" t="inlineStr">
        <x:is>
          <x:t xml:space="preserve">CBD</x:t>
        </x:is>
      </x:c>
      <x:c r="E28" s="2" t="inlineStr">
        <x:is>
          <x:t xml:space="preserve">72 Wale Street, Cape Town City Centre, Cape Town</x:t>
        </x:is>
      </x:c>
      <x:c r="F28" s="2" t="inlineStr">
        <x:is>
          <x:t xml:space="preserve">+27 21 422 0800</x:t>
        </x:is>
      </x:c>
      <x:c r="G28" s="2" t="inlineStr">
        <x:is>
          <x:t xml:space="preserve">info@openwineza.co.za</x:t>
        </x:is>
      </x:c>
      <x:c r="H28" s="2" t="inlineStr">
        <x:is>
          <x:t xml:space="preserve">https://www.cybo.com/ZA-biz/openwine</x:t>
        </x:is>
      </x:c>
      <x:c r="I28" s="2" t="inlineStr">
        <x:is>
          <x:t xml:space="preserve">Owner/GM / Buyer</x:t>
        </x:is>
      </x:c>
      <x:c r="J28" s="2" t="inlineStr">
        <x:is>
          <x:t xml:space="preserve">Large selection + bottle sales; suited for premium cases and rotating features</x:t>
        </x:is>
      </x:c>
      <x:c r="K28" s="2" t="inlineStr">
        <x:is>
          <x:t xml:space="preserve">Call + schedule tasting; propose mixed-case parcel</x:t>
        </x:is>
      </x:c>
      <x:c r="L28" s="2" t="inlineStr">
        <x:is>
          <x:t xml:space="preserve"/>
        </x:is>
      </x:c>
      <x:c r="M28" s="2" t="inlineStr">
        <x:is>
          <x:t xml:space="preserve">New</x:t>
        </x:is>
      </x:c>
    </x:row>
    <x:row r="29">
      <x:c r="A29" s="2" t="inlineStr">
        <x:is>
          <x:t xml:space="preserve">A</x:t>
        </x:is>
      </x:c>
      <x:c r="B29" s="2" t="inlineStr">
        <x:is>
          <x:t xml:space="preserve">Fine Dining</x:t>
        </x:is>
      </x:c>
      <x:c r="C29" s="2" t="inlineStr">
        <x:is>
          <x:t xml:space="preserve">La Colombe</x:t>
        </x:is>
      </x:c>
      <x:c r="D29" s="2" t="inlineStr">
        <x:is>
          <x:t xml:space="preserve">Constantia Nek</x:t>
        </x:is>
      </x:c>
      <x:c r="E29" s="2" t="inlineStr">
        <x:is>
          <x:t xml:space="preserve">Silvermist Wine Estate, Constantia Nek, Cape Town</x:t>
        </x:is>
      </x:c>
      <x:c r="F29" s="2" t="inlineStr">
        <x:is>
          <x:t xml:space="preserve">+27 21 794 2390</x:t>
        </x:is>
      </x:c>
      <x:c r="G29" s="2" t="inlineStr">
        <x:is>
          <x:t xml:space="preserve">reservations@lacolombe.co.za</x:t>
        </x:is>
      </x:c>
      <x:c r="H29" s="2" t="inlineStr">
        <x:is>
          <x:t xml:space="preserve">https://insideguide.co.za/cape-town/specials/la-colombe/</x:t>
        </x:is>
      </x:c>
      <x:c r="I29" s="2" t="inlineStr">
        <x:is>
          <x:t xml:space="preserve">Sommelier / GM</x:t>
        </x:is>
      </x:c>
      <x:c r="J29" s="2" t="inlineStr">
        <x:is>
          <x:t xml:space="preserve">Awarded fine dining; premium list placement + high ASP; no BYO (signals strong wine program)</x:t>
        </x:is>
      </x:c>
      <x:c r="K29" s="2" t="inlineStr">
        <x:is>
          <x:t xml:space="preserve">Email + request buyer intro; propose 3-SKU allocation</x:t>
        </x:is>
      </x:c>
      <x:c r="L29" s="2" t="inlineStr">
        <x:is>
          <x:t xml:space="preserve"/>
        </x:is>
      </x:c>
      <x:c r="M29" s="2" t="inlineStr">
        <x:is>
          <x:t xml:space="preserve">New</x:t>
        </x:is>
      </x:c>
    </x:row>
    <x:row r="30">
      <x:c r="A30" s="2" t="inlineStr">
        <x:is>
          <x:t xml:space="preserve">A</x:t>
        </x:is>
      </x:c>
      <x:c r="B30" s="2" t="inlineStr">
        <x:is>
          <x:t xml:space="preserve">Restaurant Group</x:t>
        </x:is>
      </x:c>
      <x:c r="C30" s="2" t="inlineStr">
        <x:is>
          <x:t xml:space="preserve">Chefs Warehouse Beau Constantia</x:t>
        </x:is>
      </x:c>
      <x:c r="D30" s="2" t="inlineStr">
        <x:is>
          <x:t xml:space="preserve">Constantia</x:t>
        </x:is>
      </x:c>
      <x:c r="E30" s="2" t="inlineStr">
        <x:is>
          <x:t xml:space="preserve">Beau Constantia Wine Farm, Constantia Nek, Cape Town</x:t>
        </x:is>
      </x:c>
      <x:c r="F30" s="2" t="inlineStr">
        <x:is>
          <x:t xml:space="preserve">+27 21 794 8632</x:t>
        </x:is>
      </x:c>
      <x:c r="G30" s="2" t="inlineStr">
        <x:is>
          <x:t xml:space="preserve">cw@beauconstantia.com</x:t>
        </x:is>
      </x:c>
      <x:c r="H30" s="2" t="inlineStr">
        <x:is>
          <x:t xml:space="preserve">https://www.chefswarehouse.co.za/contact-us/</x:t>
        </x:is>
      </x:c>
      <x:c r="I30" s="2" t="inlineStr">
        <x:is>
          <x:t xml:space="preserve">GM / Beverage</x:t>
        </x:is>
      </x:c>
      <x:c r="J30" s="2" t="inlineStr">
        <x:is>
          <x:t xml:space="preserve">High-traffic premium venue on wine farm; strong pairing/bottle program</x:t>
        </x:is>
      </x:c>
      <x:c r="K30" s="2" t="inlineStr">
        <x:is>
          <x:t xml:space="preserve">Email + propose seasonal parcel; schedule tasting</x:t>
        </x:is>
      </x:c>
      <x:c r="L30" s="2" t="inlineStr">
        <x:is>
          <x:t xml:space="preserve"/>
        </x:is>
      </x:c>
      <x:c r="M30" s="2" t="inlineStr">
        <x:is>
          <x:t xml:space="preserve">New</x:t>
        </x:is>
      </x:c>
    </x:row>
    <x:row r="31">
      <x:c r="A31" s="2" t="inlineStr">
        <x:is>
          <x:t xml:space="preserve">A</x:t>
        </x:is>
      </x:c>
      <x:c r="B31" s="2" t="inlineStr">
        <x:is>
          <x:t xml:space="preserve">Restaurant</x:t>
        </x:is>
      </x:c>
      <x:c r="C31" s="2" t="inlineStr">
        <x:is>
          <x:t xml:space="preserve">Chefs Warehouse &amp; Canteen</x:t>
        </x:is>
      </x:c>
      <x:c r="D31" s="2" t="inlineStr">
        <x:is>
          <x:t xml:space="preserve">CBD (Bree St)</x:t>
        </x:is>
      </x:c>
      <x:c r="E31" s="2" t="inlineStr">
        <x:is>
          <x:t xml:space="preserve">91 Bree Street, Cape Town</x:t>
        </x:is>
      </x:c>
      <x:c r="F31" s="2" t="inlineStr">
        <x:is>
          <x:t xml:space="preserve">+27 21 773 0440</x:t>
        </x:is>
      </x:c>
      <x:c r="G31" s="2" t="inlineStr">
        <x:is>
          <x:t xml:space="preserve">91breestreet@chefswarehouse.co.za</x:t>
        </x:is>
      </x:c>
      <x:c r="H31" s="2" t="inlineStr">
        <x:is>
          <x:t xml:space="preserve">https://www.chefswarehouse.co.za/contact-us/</x:t>
        </x:is>
      </x:c>
      <x:c r="I31" s="2" t="inlineStr">
        <x:is>
          <x:t xml:space="preserve">GM / Beverage</x:t>
        </x:is>
      </x:c>
      <x:c r="J31" s="2" t="inlineStr">
        <x:is>
          <x:t xml:space="preserve">Busy CBD venue; quick rotation; good for consistent monthly case volume</x:t>
        </x:is>
      </x:c>
      <x:c r="K31" s="2" t="inlineStr">
        <x:is>
          <x:t xml:space="preserve">Walk-in + ask for beverage buyer; leave list</x:t>
        </x:is>
      </x:c>
      <x:c r="L31" s="2" t="inlineStr">
        <x:is>
          <x:t xml:space="preserve"/>
        </x:is>
      </x:c>
      <x:c r="M31" s="2" t="inlineStr">
        <x:is>
          <x:t xml:space="preserve">New</x:t>
        </x:is>
      </x:c>
    </x:row>
    <x:row r="32">
      <x:c r="A32" s="2" t="inlineStr">
        <x:is>
          <x:t xml:space="preserve">B</x:t>
        </x:is>
      </x:c>
      <x:c r="B32" s="2" t="inlineStr">
        <x:is>
          <x:t xml:space="preserve">Restaurant</x:t>
        </x:is>
      </x:c>
      <x:c r="C32" s="2" t="inlineStr">
        <x:is>
          <x:t xml:space="preserve">Chefs Warehouse at Tintswalo Atlantic</x:t>
        </x:is>
      </x:c>
      <x:c r="D32" s="2" t="inlineStr">
        <x:is>
          <x:t xml:space="preserve">Hout Bay (&lt;=20km)</x:t>
        </x:is>
      </x:c>
      <x:c r="E32" s="2" t="inlineStr">
        <x:is>
          <x:t xml:space="preserve">Tintswalo Atlantic, Chapman’s Peak Drive area, Hout Bay</x:t>
        </x:is>
      </x:c>
      <x:c r="F32" s="2" t="inlineStr">
        <x:is>
          <x:t xml:space="preserve">+27 21 541 0165</x:t>
        </x:is>
      </x:c>
      <x:c r="G32" s="2" t="inlineStr">
        <x:is>
          <x:t xml:space="preserve">tintswalo@chefswarehouse.co.za</x:t>
        </x:is>
      </x:c>
      <x:c r="H32" s="2" t="inlineStr">
        <x:is>
          <x:t xml:space="preserve">https://www.chefswarehouse.co.za/contact-us/</x:t>
        </x:is>
      </x:c>
      <x:c r="I32" s="2" t="inlineStr">
        <x:is>
          <x:t xml:space="preserve">GM / Beverage</x:t>
        </x:is>
      </x:c>
      <x:c r="J32" s="2" t="inlineStr">
        <x:is>
          <x:t xml:space="preserve">Premium destination dining; seasonal tourist demand</x:t>
        </x:is>
      </x:c>
      <x:c r="K32" s="2" t="inlineStr">
        <x:is>
          <x:t xml:space="preserve">Call to confirm buyer; propose event/cellar pack</x:t>
        </x:is>
      </x:c>
      <x:c r="L32" s="2" t="inlineStr">
        <x:is>
          <x:t xml:space="preserve"/>
        </x:is>
      </x:c>
      <x:c r="M32" s="2" t="inlineStr">
        <x:is>
          <x:t xml:space="preserve">New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customWidth="1"/>
    <x:col min="2" max="2" width="20" customWidth="1"/>
    <x:col min="3" max="3" width="26" customWidth="1"/>
    <x:col min="4" max="4" width="28" customWidth="1"/>
    <x:col min="5" max="5" width="26" customWidth="1"/>
    <x:col min="6" max="6" width="28" customWidth="1"/>
    <x:col min="7" max="7" width="40" customWidth="1"/>
  </x:cols>
  <x:sheetData>
    <x:row r="1">
      <x:c r="A1" s="1" t="inlineStr">
        <x:is>
          <x:t xml:space="preserve">Account</x:t>
        </x:is>
      </x:c>
      <x:c r="B1" s="1" t="inlineStr">
        <x:is>
          <x:t xml:space="preserve">Area</x:t>
        </x:is>
      </x:c>
      <x:c r="C1" s="1" t="inlineStr">
        <x:is>
          <x:t xml:space="preserve">Primary Contact / Buyer Role</x:t>
        </x:is>
      </x:c>
      <x:c r="D1" s="1" t="inlineStr">
        <x:is>
          <x:t xml:space="preserve">Notes</x:t>
        </x:is>
      </x:c>
      <x:c r="E1" s="1" t="inlineStr">
        <x:is>
          <x:t xml:space="preserve">Current Monthly Volume (cases)</x:t>
        </x:is>
      </x:c>
      <x:c r="F1" s="1" t="inlineStr">
        <x:is>
          <x:t xml:space="preserve">Upsell Idea</x:t>
        </x:is>
      </x:c>
      <x:c r="G1" s="1" t="inlineStr">
        <x:is>
          <x:t xml:space="preserve">Source/Website</x:t>
        </x:is>
      </x:c>
    </x:row>
    <x:row r="2">
      <x:c r="A2" s="2" t="inlineStr">
        <x:is>
          <x:t xml:space="preserve">Sun International</x:t>
        </x:is>
      </x:c>
      <x:c r="B2" s="2" t="inlineStr">
        <x:is>
          <x:t xml:space="preserve">Cape Town &amp; surrounds</x:t>
        </x:is>
      </x:c>
      <x:c r="C2" s="2" t="inlineStr">
        <x:is>
          <x:t xml:space="preserve">Group procurement / beverage</x:t>
        </x:is>
      </x:c>
      <x:c r="D2" s="2" t="inlineStr">
        <x:is>
          <x:t xml:space="preserve">Already active account</x:t>
        </x:is>
      </x:c>
      <x:c r="E2" s="2" t="inlineStr">
        <x:is>
          <x:t xml:space="preserve"/>
        </x:is>
      </x:c>
      <x:c r="F2" s="2" t="inlineStr">
        <x:is>
          <x:t xml:space="preserve">Add premium allocation packs for hotel F&amp;B + events</x:t>
        </x:is>
      </x:c>
      <x:c r="G2" s="2" t="inlineStr">
        <x:is>
          <x:t xml:space="preserve"/>
        </x:is>
      </x:c>
    </x:row>
    <x:row r="3">
      <x:c r="A3" s="2" t="inlineStr">
        <x:is>
          <x:t xml:space="preserve">SPAR</x:t>
        </x:is>
      </x:c>
      <x:c r="B3" s="2" t="inlineStr">
        <x:is>
          <x:t xml:space="preserve">Cape Town &amp; surrounds</x:t>
        </x:is>
      </x:c>
      <x:c r="C3" s="2" t="inlineStr">
        <x:is>
          <x:t xml:space="preserve">Regional buyer / distribution</x:t>
        </x:is>
      </x:c>
      <x:c r="D3" s="2" t="inlineStr">
        <x:is>
          <x:t xml:space="preserve">Already active account</x:t>
        </x:is>
      </x:c>
      <x:c r="E3" s="2" t="inlineStr">
        <x:is>
          <x:t xml:space="preserve"/>
        </x:is>
      </x:c>
      <x:c r="F3" s="2" t="inlineStr">
        <x:is>
          <x:t xml:space="preserve">Expand into TOPS and corporate hamper tie-ins</x:t>
        </x:is>
      </x:c>
      <x:c r="G3" s="2" t="inlineStr">
        <x:is>
          <x:t xml:space="preserve"/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6" customWidth="1"/>
    <x:col min="2" max="2" width="18" customWidth="1"/>
    <x:col min="3" max="3" width="24" customWidth="1"/>
    <x:col min="4" max="4" width="18" customWidth="1"/>
    <x:col min="5" max="5" width="22" customWidth="1"/>
  </x:cols>
  <x:sheetData>
    <x:row r="1">
      <x:c r="A1" s="3" t="inlineStr">
        <x:is>
          <x:t xml:space="preserve">Inputs (edit blue cells)</x:t>
        </x:is>
      </x:c>
      <x:c r="B1" s="3" t="inlineStr">
        <x:is>
          <x:t xml:space="preserve"/>
        </x:is>
      </x:c>
      <x:c r="C1" s="3" t="inlineStr">
        <x:is>
          <x:t xml:space="preserve">Value</x:t>
        </x:is>
      </x:c>
      <x:c r="D1" s="3" t="inlineStr">
        <x:is>
          <x:t xml:space="preserve">Units/Notes</x:t>
        </x:is>
      </x:c>
    </x:row>
    <x:row r="2">
      <x:c r="A2" s="2" t="inlineStr">
        <x:is>
          <x:t xml:space="preserve">Total wine to sell</x:t>
        </x:is>
      </x:c>
      <x:c r="B2" s="2" t="inlineStr">
        <x:is>
          <x:t xml:space="preserve"/>
        </x:is>
      </x:c>
      <x:c r="C2" s="4" t="n">
        <x:v>500</x:v>
      </x:c>
      <x:c r="D2" s="2" t="inlineStr">
        <x:is>
          <x:t xml:space="preserve">tons</x:t>
        </x:is>
      </x:c>
    </x:row>
    <x:row r="3">
      <x:c r="A3" s="2" t="inlineStr">
        <x:is>
          <x:t xml:space="preserve">Assumed density</x:t>
        </x:is>
      </x:c>
      <x:c r="B3" s="2" t="inlineStr">
        <x:is>
          <x:t xml:space="preserve"/>
        </x:is>
      </x:c>
      <x:c r="C3" s="5" t="n">
        <x:v>1</x:v>
      </x:c>
      <x:c r="D3" s="2" t="inlineStr">
        <x:is>
          <x:t xml:space="preserve">kg/L (approx; editable)</x:t>
        </x:is>
      </x:c>
    </x:row>
    <x:row r="4">
      <x:c r="A4" s="2" t="inlineStr">
        <x:is>
          <x:t xml:space="preserve">Bottle size</x:t>
        </x:is>
      </x:c>
      <x:c r="B4" s="2" t="inlineStr">
        <x:is>
          <x:t xml:space="preserve"/>
        </x:is>
      </x:c>
      <x:c r="C4" s="5" t="n">
        <x:v>0.75</x:v>
      </x:c>
      <x:c r="D4" s="2" t="inlineStr">
        <x:is>
          <x:t xml:space="preserve">Litres</x:t>
        </x:is>
      </x:c>
    </x:row>
    <x:row r="5">
      <x:c r="A5" s="2" t="inlineStr">
        <x:is>
          <x:t xml:space="preserve">Cases per pallet</x:t>
        </x:is>
      </x:c>
      <x:c r="B5" s="2" t="inlineStr">
        <x:is>
          <x:t xml:space="preserve"/>
        </x:is>
      </x:c>
      <x:c r="C5" s="4" t="n">
        <x:v>60</x:v>
      </x:c>
      <x:c r="D5" s="2" t="inlineStr">
        <x:is>
          <x:t xml:space="preserve">12-bottle cases per pallet (edit to your ops)</x:t>
        </x:is>
      </x:c>
    </x:row>
    <x:row r="6">
      <x:c r="A6" s="2" t="inlineStr">
        <x:is>
          <x:t xml:space="preserve">Bottles per case</x:t>
        </x:is>
      </x:c>
      <x:c r="B6" s="2" t="inlineStr">
        <x:is>
          <x:t xml:space="preserve"/>
        </x:is>
      </x:c>
      <x:c r="C6" s="4" t="n">
        <x:v>12</x:v>
      </x:c>
      <x:c r="D6" s="2" t="inlineStr">
        <x:is>
          <x:t xml:space="preserve">bottles</x:t>
        </x:is>
      </x:c>
    </x:row>
    <x:row r="7">
      <x:c r="A7" s="2" t="inlineStr">
        <x:is>
          <x:t xml:space="preserve">Start date</x:t>
        </x:is>
      </x:c>
      <x:c r="B7" s="2" t="inlineStr">
        <x:is>
          <x:t xml:space="preserve"/>
        </x:is>
      </x:c>
      <x:c r="C7" s="6" t="n">
        <x:v>46082</x:v>
      </x:c>
      <x:c r="D7" s="2" t="inlineStr">
        <x:is>
          <x:t xml:space="preserve">planning start</x:t>
        </x:is>
      </x:c>
    </x:row>
    <x:row r="8">
      <x:c r="A8" s="2" t="inlineStr">
        <x:is>
          <x:t xml:space="preserve">End date</x:t>
        </x:is>
      </x:c>
      <x:c r="B8" s="2" t="inlineStr">
        <x:is>
          <x:t xml:space="preserve"/>
        </x:is>
      </x:c>
      <x:c r="C8" s="6" t="n">
        <x:v>46387</x:v>
      </x:c>
      <x:c r="D8" s="2" t="inlineStr">
        <x:is>
          <x:t xml:space="preserve">deadline</x:t>
        </x:is>
      </x:c>
    </x:row>
    <x:row r="9">
      <x:c r="A9" t="inlineStr">
        <x:is>
          <x:t xml:space="preserve">Months remaining</x:t>
        </x:is>
      </x:c>
      <x:c r="C9" s="11" t="n">
        <x:v>10</x:v>
      </x:c>
      <x:c r="D9" t="inlineStr">
        <x:is>
          <x:t xml:space="preserve">override if plan changes</x:t>
        </x:is>
      </x:c>
    </x:row>
    <x:row r="10">
      <x:c r="A10" s="7" t="n"/>
      <x:c r="B10" s="7" t="n"/>
      <x:c r="C10" s="7" t="n"/>
      <x:c r="D10" s="7" t="n"/>
    </x:row>
    <x:row r="11">
      <x:c r="A11" s="2" t="inlineStr">
        <x:is>
          <x:t xml:space="preserve">Calculated outputs</x:t>
        </x:is>
      </x:c>
      <x:c r="B11" s="2" t="inlineStr">
        <x:is>
          <x:t xml:space="preserve"/>
        </x:is>
      </x:c>
      <x:c r="C11" s="2" t="inlineStr">
        <x:is>
          <x:t xml:space="preserve"/>
        </x:is>
      </x:c>
      <x:c r="D11" s="2" t="inlineStr">
        <x:is>
          <x:t xml:space="preserve"/>
        </x:is>
      </x:c>
    </x:row>
    <x:row r="12">
      <x:c r="A12" s="2" t="inlineStr">
        <x:is>
          <x:t xml:space="preserve">Total litres (approx)</x:t>
        </x:is>
      </x:c>
      <x:c r="B12" s="2" t="inlineStr">
        <x:is>
          <x:t xml:space="preserve"/>
        </x:is>
      </x:c>
      <x:c r="C12" s="2">
        <x:f>C2*1000/C3</x:f>
        <x:v>500000</x:v>
      </x:c>
      <x:c r="D12" s="2" t="inlineStr">
        <x:is>
          <x:t xml:space="preserve">tons→kg; kg/L → L</x:t>
        </x:is>
      </x:c>
    </x:row>
    <x:row r="13">
      <x:c r="A13" s="2" t="inlineStr">
        <x:is>
          <x:t xml:space="preserve">Total bottles (approx)</x:t>
        </x:is>
      </x:c>
      <x:c r="B13" s="2" t="inlineStr">
        <x:is>
          <x:t xml:space="preserve"/>
        </x:is>
      </x:c>
      <x:c r="C13" s="2">
        <x:f>C12/C4</x:f>
        <x:v>666666.6666666666</x:v>
      </x:c>
      <x:c r="D13" s="2" t="inlineStr">
        <x:is>
          <x:t xml:space="preserve">litres / bottle size</x:t>
        </x:is>
      </x:c>
    </x:row>
    <x:row r="14">
      <x:c r="A14" s="2" t="inlineStr">
        <x:is>
          <x:t xml:space="preserve">Total cases (12-btl)</x:t>
        </x:is>
      </x:c>
      <x:c r="B14" s="2" t="inlineStr">
        <x:is>
          <x:t xml:space="preserve"/>
        </x:is>
      </x:c>
      <x:c r="C14" s="2">
        <x:f>C13/C6</x:f>
        <x:v>55555.555555555555</x:v>
      </x:c>
      <x:c r="D14" s="2" t="inlineStr">
        <x:is>
          <x:t xml:space="preserve">bottles / case</x:t>
        </x:is>
      </x:c>
    </x:row>
    <x:row r="15">
      <x:c r="A15" s="2" t="inlineStr">
        <x:is>
          <x:t xml:space="preserve">Total pallets</x:t>
        </x:is>
      </x:c>
      <x:c r="B15" s="2" t="inlineStr">
        <x:is>
          <x:t xml:space="preserve"/>
        </x:is>
      </x:c>
      <x:c r="C15" s="2">
        <x:f>C14/C5</x:f>
        <x:v>925.9259259259259</x:v>
      </x:c>
      <x:c r="D15" s="2" t="inlineStr">
        <x:is>
          <x:t xml:space="preserve">cases / pallet</x:t>
        </x:is>
      </x:c>
    </x:row>
    <x:row r="16">
      <x:c r="A16" s="2" t="inlineStr">
        <x:is>
          <x:t xml:space="preserve">Days available</x:t>
        </x:is>
      </x:c>
      <x:c r="B16" s="2" t="inlineStr">
        <x:is>
          <x:t xml:space="preserve"/>
        </x:is>
      </x:c>
      <x:c r="C16" s="2">
        <x:f>C8-C7+1</x:f>
        <x:v>306</x:v>
      </x:c>
      <x:c r="D16" s="2" t="inlineStr">
        <x:is>
          <x:t xml:space="preserve">inclusive</x:t>
        </x:is>
      </x:c>
    </x:row>
    <x:row r="17">
      <x:c r="A17" s="2" t="inlineStr">
        <x:is>
          <x:t xml:space="preserve">Bottles per day</x:t>
        </x:is>
      </x:c>
      <x:c r="B17" s="2" t="inlineStr">
        <x:is>
          <x:t xml:space="preserve"/>
        </x:is>
      </x:c>
      <x:c r="C17" s="2">
        <x:f>C13/C16</x:f>
        <x:v>2178.649237472767</x:v>
      </x:c>
      <x:c r="D17" s="2" t="inlineStr">
        <x:is>
          <x:t xml:space="preserve"/>
        </x:is>
      </x:c>
    </x:row>
    <x:row r="18">
      <x:c r="A18" s="2" t="inlineStr">
        <x:is>
          <x:t xml:space="preserve">Cases per week</x:t>
        </x:is>
      </x:c>
      <x:c r="B18" s="2" t="inlineStr">
        <x:is>
          <x:t xml:space="preserve"/>
        </x:is>
      </x:c>
      <x:c r="C18" s="2">
        <x:f>(C14/C16)*7</x:f>
        <x:v>1270.878721859114</x:v>
      </x:c>
      <x:c r="D18" s="2" t="inlineStr">
        <x:is>
          <x:t xml:space="preserve"/>
        </x:is>
      </x:c>
    </x:row>
    <x:row r="20">
      <x:c r="A20" s="8" t="inlineStr">
        <x:is>
          <x:t xml:space="preserve">Segment plan (set targets)</x:t>
        </x:is>
      </x:c>
      <x:c r="B20" s="8" t="inlineStr">
        <x:is>
          <x:t xml:space="preserve">Accounts needed</x:t>
        </x:is>
      </x:c>
      <x:c r="C20" s="8" t="inlineStr">
        <x:is>
          <x:t xml:space="preserve">Avg cases / account / month</x:t>
        </x:is>
      </x:c>
      <x:c r="D20" s="8" t="inlineStr">
        <x:is>
          <x:t xml:space="preserve">Months remaining</x:t>
        </x:is>
      </x:c>
      <x:c r="E20" s="8" t="inlineStr">
        <x:is>
          <x:t xml:space="preserve">Total cases covered</x:t>
        </x:is>
      </x:c>
    </x:row>
    <x:row r="21">
      <x:c r="A21" s="2" t="inlineStr">
        <x:is>
          <x:t xml:space="preserve">Luxury hotels</x:t>
        </x:is>
      </x:c>
      <x:c r="B21" s="9" t="n">
        <x:v>8</x:v>
      </x:c>
      <x:c r="C21" s="9" t="n">
        <x:v>120</x:v>
      </x:c>
      <x:c r="D21" s="2">
        <x:f>$C$9</x:f>
        <x:v>10</x:v>
      </x:c>
      <x:c r="E21" s="2">
        <x:f>B21*C21*D21</x:f>
        <x:v>9600</x:v>
      </x:c>
    </x:row>
    <x:row r="22">
      <x:c r="A22" s="2" t="inlineStr">
        <x:is>
          <x:t xml:space="preserve">Restaurants/wine bars</x:t>
        </x:is>
      </x:c>
      <x:c r="B22" s="9" t="n">
        <x:v>25</x:v>
      </x:c>
      <x:c r="C22" s="9" t="n">
        <x:v>25</x:v>
      </x:c>
      <x:c r="D22" s="2">
        <x:f>$C$9</x:f>
        <x:v>10</x:v>
      </x:c>
      <x:c r="E22" s="2">
        <x:f>B22*C22*D22</x:f>
        <x:v>6250</x:v>
      </x:c>
    </x:row>
    <x:row r="23">
      <x:c r="A23" s="2" t="inlineStr">
        <x:is>
          <x:t xml:space="preserve">Corporate gifting</x:t>
        </x:is>
      </x:c>
      <x:c r="B23" s="9" t="n">
        <x:v>8</x:v>
      </x:c>
      <x:c r="C23" s="9" t="n">
        <x:v>80</x:v>
      </x:c>
      <x:c r="D23" s="2">
        <x:f>$C$9</x:f>
        <x:v>10</x:v>
      </x:c>
      <x:c r="E23" s="2">
        <x:f>B23*C23*D23</x:f>
        <x:v>6400</x:v>
      </x:c>
    </x:row>
    <x:row r="24">
      <x:c r="A24" s="2" t="inlineStr">
        <x:is>
          <x:t xml:space="preserve">Retail &amp; liquor specialists</x:t>
        </x:is>
      </x:c>
      <x:c r="B24" s="9" t="n">
        <x:v>20</x:v>
      </x:c>
      <x:c r="C24" s="9" t="n">
        <x:v>40</x:v>
      </x:c>
      <x:c r="D24" s="2">
        <x:f>$C$9</x:f>
        <x:v>10</x:v>
      </x:c>
      <x:c r="E24" s="2">
        <x:f>B24*C24*D24</x:f>
        <x:v>8000</x:v>
      </x:c>
    </x:row>
    <x:row r="25">
      <x:c r="A25" s="2" t="inlineStr">
        <x:is>
          <x:t xml:space="preserve">Distributors/wholesale</x:t>
        </x:is>
      </x:c>
      <x:c r="B25" s="9" t="n">
        <x:v>4</x:v>
      </x:c>
      <x:c r="C25" s="9" t="n">
        <x:v>400</x:v>
      </x:c>
      <x:c r="D25" s="2">
        <x:f>$C$9</x:f>
        <x:v>10</x:v>
      </x:c>
      <x:c r="E25" s="2">
        <x:f>B25*C25*D25</x:f>
        <x:v>16000</x:v>
      </x:c>
    </x:row>
    <x:row r="26">
      <x:c r="A26" s="10" t="inlineStr">
        <x:is>
          <x:t xml:space="preserve">TOTAL</x:t>
        </x:is>
      </x:c>
      <x:c r="B26" s="2" t="inlineStr">
        <x:is>
          <x:t xml:space="preserve"/>
        </x:is>
      </x:c>
      <x:c r="C26" s="2" t="inlineStr">
        <x:is>
          <x:t xml:space="preserve"/>
        </x:is>
      </x:c>
      <x:c r="D26" s="2" t="inlineStr">
        <x:is>
          <x:t xml:space="preserve"/>
        </x:is>
      </x:c>
      <x:c r="E26" s="10">
        <x:f>SUM(E21:E25)</x:f>
        <x:v>46250</x:v>
      </x:c>
    </x:row>
    <x:row r="27">
      <x:c r="A27" s="2" t="inlineStr">
        <x:is>
          <x:t xml:space="preserve">Required total cases</x:t>
        </x:is>
      </x:c>
      <x:c r="B27" s="2" t="inlineStr">
        <x:is>
          <x:t xml:space="preserve"/>
        </x:is>
      </x:c>
      <x:c r="C27" s="2" t="inlineStr">
        <x:is>
          <x:t xml:space="preserve"/>
        </x:is>
      </x:c>
      <x:c r="D27" s="2" t="inlineStr">
        <x:is>
          <x:t xml:space="preserve"/>
        </x:is>
      </x:c>
      <x:c r="E27" s="2">
        <x:f>C14</x:f>
        <x:v>55555.555555555555</x:v>
      </x:c>
    </x:row>
    <x:row r="28">
      <x:c r="A28" s="2" t="inlineStr">
        <x:is>
          <x:t xml:space="preserve">Gap (covered - required)</x:t>
        </x:is>
      </x:c>
      <x:c r="B28" s="2" t="inlineStr">
        <x:is>
          <x:t xml:space="preserve"/>
        </x:is>
      </x:c>
      <x:c r="C28" s="2" t="inlineStr">
        <x:is>
          <x:t xml:space="preserve"/>
        </x:is>
      </x:c>
      <x:c r="D28" s="2" t="inlineStr">
        <x:is>
          <x:t xml:space="preserve"/>
        </x:is>
      </x:c>
      <x:c r="E28" s="2">
        <x:f>E26-E27</x:f>
        <x:v>-9305.555555555555</x:v>
      </x:c>
    </x:row>
  </x:sheetData>
  <x:pageMargins left="0.7" right="0.7" top="0.75" bottom="0.75" header="0.3" footer="0.3"/>
</x:worksheet>
</file>